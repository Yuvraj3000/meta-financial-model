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yuvip\Desktop\CFI FMVP Course\"/>
    </mc:Choice>
  </mc:AlternateContent>
  <xr:revisionPtr revIDLastSave="0" documentId="13_ncr:1_{87586F98-3F48-4F81-90E5-09B9D41900C5}" xr6:coauthVersionLast="47" xr6:coauthVersionMax="47" xr10:uidLastSave="{00000000-0000-0000-0000-000000000000}"/>
  <bookViews>
    <workbookView xWindow="-108" yWindow="-108" windowWidth="23256" windowHeight="12456" tabRatio="894" activeTab="5" xr2:uid="{ECF1FB7B-C510-4277-A6FC-A4F9A01BB0E3}"/>
  </bookViews>
  <sheets>
    <sheet name="CoverPage" sheetId="7" r:id="rId1"/>
    <sheet name="Assumption" sheetId="19" r:id="rId2"/>
    <sheet name="Operating Model - IS, BS, CF" sheetId="1" r:id="rId3"/>
    <sheet name="DCF" sheetId="20" r:id="rId4"/>
    <sheet name="Revenue" sheetId="18" r:id="rId5"/>
    <sheet name="D&amp;A" sheetId="14" r:id="rId6"/>
    <sheet name="WC" sheetId="15" r:id="rId7"/>
    <sheet name="Equity" sheetId="16" r:id="rId8"/>
    <sheet name="Debt" sheetId="17" r:id="rId9"/>
    <sheet name="Disclaimer" sheetId="8" r:id="rId10"/>
    <sheet name="&gt;&gt;&gt;" sheetId="13" r:id="rId11"/>
  </sheets>
  <definedNames>
    <definedName name="__PRN2" localSheetId="9">{"adj95mult",#N/A,FALSE,"COMPCO";"adj95est",#N/A,FALSE,"COMPCO"}</definedName>
    <definedName name="__PRN2">{"adj95mult",#N/A,FALSE,"COMPCO";"adj95est",#N/A,FALSE,"COMPCO"}</definedName>
    <definedName name="_1__FDSAUDITLINK__" localSheetId="9">{"fdsup://directions/FAT Viewer?action=UPDATE&amp;creator=factset&amp;DYN_ARGS=TRUE&amp;DOC_NAME=FAT:FQL_AUDITING_CLIENT_TEMPLATE.FAT&amp;display_string=Audit&amp;VAR:KEY=QDWBINOJIH&amp;VAR:QUERY=UkdGX1BCS19UQU5HKFFUUiwwLCwsLCwsTk9BVURJVCk=&amp;WINDOW=FIRST_POPUP&amp;HEIGHT=450&amp;WIDTH=450&amp;","START_MAXIMIZED=FALSE&amp;VAR:CALENDAR=US&amp;VAR:SYMBOL=PACW&amp;VAR:INDEX=0"}</definedName>
    <definedName name="_1__FDSAUDITLINK__">{"fdsup://directions/FAT Viewer?action=UPDATE&amp;creator=factset&amp;DYN_ARGS=TRUE&amp;DOC_NAME=FAT:FQL_AUDITING_CLIENT_TEMPLATE.FAT&amp;display_string=Audit&amp;VAR:KEY=QDWBINOJIH&amp;VAR:QUERY=UkdGX1BCS19UQU5HKFFUUiwwLCwsLCwsTk9BVURJVCk=&amp;WINDOW=FIRST_POPUP&amp;HEIGHT=450&amp;WIDTH=450&amp;","START_MAXIMIZED=FALSE&amp;VAR:CALENDAR=US&amp;VAR:SYMBOL=PACW&amp;VAR:INDEX=0"}</definedName>
    <definedName name="_2__FDSAUDITLINK__" localSheetId="9">{"fdsup://directions/FAT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_2__FDSAUDITLINK__">{"fdsup://directions/FAT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_3__FDSAUDITLINK__" localSheetId="9">{"fdsup://directions/FAT Viewer?action=UPDATE&amp;creator=factset&amp;DYN_ARGS=TRUE&amp;DOC_NAME=FAT:FQL_AUDITING_CLIENT_TEMPLATE.FAT&amp;display_string=Audit&amp;VAR:KEY=OJEJONYJWR&amp;VAR:QUERY=SlVMSUFOKElDX0VTVElNQVRFKEVQUygpLE1FRCxBTk4sMjAxMSwwLDApLmRhdGVzKQ==&amp;WINDOW=FIRST_POP","UP&amp;HEIGHT=450&amp;WIDTH=450&amp;START_MAXIMIZED=FALSE&amp;VAR:CALENDAR=US&amp;VAR:SYMBOL=CYN&amp;VAR:INDEX=0"}</definedName>
    <definedName name="_3__FDSAUDITLINK__">{"fdsup://directions/FAT Viewer?action=UPDATE&amp;creator=factset&amp;DYN_ARGS=TRUE&amp;DOC_NAME=FAT:FQL_AUDITING_CLIENT_TEMPLATE.FAT&amp;display_string=Audit&amp;VAR:KEY=OJEJONYJWR&amp;VAR:QUERY=SlVMSUFOKElDX0VTVElNQVRFKEVQUygpLE1FRCxBTk4sMjAxMSwwLDApLmRhdGVzKQ==&amp;WINDOW=FIRST_POP","UP&amp;HEIGHT=450&amp;WIDTH=450&amp;START_MAXIMIZED=FALSE&amp;VAR:CALENDAR=US&amp;VAR:SYMBOL=CYN&amp;VAR:INDEX=0"}</definedName>
    <definedName name="_4__FDSAUDITLINK__" localSheetId="9">{"fdsup://directions/FAT Viewer?action=UPDATE&amp;creator=factset&amp;DYN_ARGS=TRUE&amp;DOC_NAME=FAT:FQL_AUDITING_CLIENT_TEMPLATE.FAT&amp;display_string=Audit&amp;VAR:KEY=OJEJONYJWR&amp;VAR:QUERY=SlVMSUFOKElDX0VTVElNQVRFKEVQUygpLE1FRCxBTk4sMjAxMSwwLDApLmRhdGVzKQ==&amp;WINDOW=FIRST_POP","UP&amp;HEIGHT=450&amp;WIDTH=450&amp;START_MAXIMIZED=FALSE&amp;VAR:CALENDAR=US&amp;VAR:SYMBOL=CYN&amp;VAR:INDEX=0"}</definedName>
    <definedName name="_4__FDSAUDITLINK__">{"fdsup://directions/FAT Viewer?action=UPDATE&amp;creator=factset&amp;DYN_ARGS=TRUE&amp;DOC_NAME=FAT:FQL_AUDITING_CLIENT_TEMPLATE.FAT&amp;display_string=Audit&amp;VAR:KEY=OJEJONYJWR&amp;VAR:QUERY=SlVMSUFOKElDX0VTVElNQVRFKEVQUygpLE1FRCxBTk4sMjAxMSwwLDApLmRhdGVzKQ==&amp;WINDOW=FIRST_POP","UP&amp;HEIGHT=450&amp;WIDTH=450&amp;START_MAXIMIZED=FALSE&amp;VAR:CALENDAR=US&amp;VAR:SYMBOL=CYN&amp;VAR:INDEX=0"}</definedName>
    <definedName name="_5__FDSAUDITLINK__" localSheetId="9">{"fdsup://directions/FAT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_5__FDSAUDITLINK__">{"fdsup://directions/FAT Viewer?action=UPDATE&amp;creator=factset&amp;DYN_ARGS=TRUE&amp;DOC_NAME=FAT:FQL_AUDITING_CLIENT_TEMPLATE.FAT&amp;display_string=Audit&amp;VAR:KEY=UJYLERKLUR&amp;VAR:QUERY=SlVMSUFOKElDX0VTVElNQVRFKEVQUygpLE1FRCxBTk4sMjAxMSw0MDgxNCwwKS5kYXRlcyk=&amp;WINDOW=FIRST","_POPUP&amp;HEIGHT=450&amp;WIDTH=450&amp;START_MAXIMIZED=FALSE&amp;VAR:CALENDAR=US&amp;VAR:SYMBOL=CYN&amp;VAR:INDEX=0"}</definedName>
    <definedName name="_xlnm._FilterDatabase" localSheetId="2" hidden="1">'Operating Model - IS, BS, CF'!$C$2:$C$116</definedName>
    <definedName name="_PRN2" localSheetId="9">{"adj95mult",#N/A,FALSE,"COMPCO";"adj95est",#N/A,FALSE,"COMPCO"}</definedName>
    <definedName name="_PRN2">{"adj95mult",#N/A,FALSE,"COMPCO";"adj95est",#N/A,FALSE,"COMPCO"}</definedName>
    <definedName name="aa" localSheetId="9">{"DCF1",#N/A,FALSE,"SIERRA DCF";"MATRIX1",#N/A,FALSE,"SIERRA DCF"}</definedName>
    <definedName name="aa">{"DCF1",#N/A,FALSE,"SIERRA DCF";"MATRIX1",#N/A,FALSE,"SIERRA DCF"}</definedName>
    <definedName name="aaa" localSheetId="9">{"adj95mult",#N/A,FALSE,"COMPCO";"adj95est",#N/A,FALSE,"COMPCO"}</definedName>
    <definedName name="aaa">{"adj95mult",#N/A,FALSE,"COMPCO";"adj95est",#N/A,FALSE,"COMPCO"}</definedName>
    <definedName name="casds" localSheetId="9">{"DCF1",#N/A,FALSE,"SIERRA DCF";"MATRIX1",#N/A,FALSE,"SIERRA DCF"}</definedName>
    <definedName name="casds">{"DCF1",#N/A,FALSE,"SIERRA DCF";"MATRIX1",#N/A,FALSE,"SIERRA DCF"}</definedName>
    <definedName name="dafdsf" localSheetId="9">{"qchm_dcf",#N/A,FALSE,"QCHMDCF2";"qchm_terminal",#N/A,FALSE,"QCHMDCF2"}</definedName>
    <definedName name="dafdsf">{"qchm_dcf",#N/A,FALSE,"QCHMDCF2";"qchm_terminal",#N/A,FALSE,"QCHMDCF2"}</definedName>
    <definedName name="ddd" localSheetId="9">{"adj95mult",#N/A,FALSE,"COMPCO";"adj95est",#N/A,FALSE,"COMPCO"}</definedName>
    <definedName name="ddd">{"adj95mult",#N/A,FALSE,"COMPCO";"adj95est",#N/A,FALSE,"COMPCO"}</definedName>
    <definedName name="dfa" localSheetId="9">{"Acq_matrix",#N/A,FALSE,"Acquisition Matrix"}</definedName>
    <definedName name="dfa">{"Acq_matrix",#N/A,FALSE,"Acquisition Matrix"}</definedName>
    <definedName name="dfhgfgdjgd" localSheetId="9">{"Matrix",#N/A,FALSE,"ACQMTRX";"Fees",#N/A,FALSE,"ACQMTRX"}</definedName>
    <definedName name="dfhgfgdjgd">{"Matrix",#N/A,FALSE,"ACQMTRX";"Fees",#N/A,FALSE,"ACQMTRX"}</definedName>
    <definedName name="Div_Industrial" localSheetId="9">{"adj95mult",#N/A,FALSE,"COMPCO";"adj95est",#N/A,FALSE,"COMPCO"}</definedName>
    <definedName name="Div_Industrial">{"adj95mult",#N/A,FALSE,"COMPCO";"adj95est",#N/A,FALSE,"COMPCO"}</definedName>
    <definedName name="e" localSheetId="9">{"adj95mult",#N/A,FALSE,"COMPCO";"adj95est",#N/A,FALSE,"COMPCO"}</definedName>
    <definedName name="e">{"adj95mult",#N/A,FALSE,"COMPCO";"adj95est",#N/A,FALSE,"COMPCO"}</definedName>
    <definedName name="fgefgef" localSheetId="9">{"qchm_dcf",#N/A,FALSE,"QCHMDCF2";"qchm_terminal",#N/A,FALSE,"QCHMDCF2"}</definedName>
    <definedName name="fgefgef">{"qchm_dcf",#N/A,FALSE,"QCHMDCF2";"qchm_terminal",#N/A,FALSE,"QCHMDCF2"}</definedName>
    <definedName name="fhrghgrd" localSheetId="9">{"DCF1",#N/A,FALSE,"SIERRA DCF";"MATRIX1",#N/A,FALSE,"SIERRA DCF"}</definedName>
    <definedName name="fhrghgrd">{"DCF1",#N/A,FALSE,"SIERRA DCF";"MATRIX1",#N/A,FALSE,"SIERRA DCF"}</definedName>
    <definedName name="fsdfdfa" localSheetId="9">{"page1",#N/A,FALSE,"BHCOMPC5";"page2",#N/A,FALSE,"BHCOMPC5";"page3",#N/A,FALSE,"BHCOMPC5";"page4",#N/A,FALSE,"BHCOMPC5"}</definedName>
    <definedName name="fsdfdfa">{"page1",#N/A,FALSE,"BHCOMPC5";"page2",#N/A,FALSE,"BHCOMPC5";"page3",#N/A,FALSE,"BHCOMPC5";"page4",#N/A,FALSE,"BHCOMPC5"}</definedName>
    <definedName name="g" localSheetId="9">{"page1",#N/A,FALSE,"BHCOMPC5";"page2",#N/A,FALSE,"BHCOMPC5";"page3",#N/A,FALSE,"BHCOMPC5";"page4",#N/A,FALSE,"BHCOMPC5"}</definedName>
    <definedName name="g">{"page1",#N/A,FALSE,"BHCOMPC5";"page2",#N/A,FALSE,"BHCOMPC5";"page3",#N/A,FALSE,"BHCOMPC5";"page4",#N/A,FALSE,"BHCOMPC5"}</definedName>
    <definedName name="hhgjghj" localSheetId="9">{"DCF1",#N/A,FALSE,"SIERRA DCF";"MATRIX1",#N/A,FALSE,"SIERRA DCF"}</definedName>
    <definedName name="hhgjghj">{"DCF1",#N/A,FALSE,"SIERRA DCF";"MATRIX1",#N/A,FALSE,"SIERRA DCF"}</definedName>
    <definedName name="htgrer" localSheetId="9">{"page1",#N/A,FALSE,"BHCOMPC5";"page2",#N/A,FALSE,"BHCOMPC5";"page3",#N/A,FALSE,"BHCOMPC5";"page4",#N/A,FALSE,"BHCOMPC5"}</definedName>
    <definedName name="htgrer">{"page1",#N/A,FALSE,"BHCOMPC5";"page2",#N/A,FALSE,"BHCOMPC5";"page3",#N/A,FALSE,"BHCOMPC5";"page4",#N/A,FALSE,"BHCOMPC5"}</definedName>
    <definedName name="i" localSheetId="9">{"DCF1",#N/A,FALSE,"SIERRA DCF";"MATRIX1",#N/A,FALSE,"SIERRA DCF"}</definedName>
    <definedName name="i">{"DCF1",#N/A,FALSE,"SIERRA DCF";"MATRIX1",#N/A,FALSE,"SIERRA DCF"}</definedName>
    <definedName name="j" localSheetId="9">{"EVA",#N/A,FALSE,"EVA";"WACC",#N/A,FALSE,"WACC"}</definedName>
    <definedName name="j">{"EVA",#N/A,FALSE,"EVA";"WACC",#N/A,FALSE,"WACC"}</definedName>
    <definedName name="k" localSheetId="9">{"DCF","UPSIDE CASE",FALSE,"Sheet1";"DCF","BASE CASE",FALSE,"Sheet1";"DCF","DOWNSIDE CASE",FALSE,"Sheet1"}</definedName>
    <definedName name="k">{"DCF","UPSIDE CASE",FALSE,"Sheet1";"DCF","BASE CASE",FALSE,"Sheet1";"DCF","DOWNSIDE CASE",FALSE,"Sheet1"}</definedName>
    <definedName name="nhjythh" localSheetId="9">{"DCF","UPSIDE CASE",FALSE,"Sheet1";"DCF","BASE CASE",FALSE,"Sheet1";"DCF","DOWNSIDE CASE",FALSE,"Sheet1"}</definedName>
    <definedName name="nhjythh">{"DCF","UPSIDE CASE",FALSE,"Sheet1";"DCF","BASE CASE",FALSE,"Sheet1";"DCF","DOWNSIDE CASE",FALSE,"Sheet1"}</definedName>
    <definedName name="sadd" localSheetId="9">{"DCF","UPSIDE CASE",FALSE,"Sheet1";"DCF","BASE CASE",FALSE,"Sheet1";"DCF","DOWNSIDE CASE",FALSE,"Sheet1"}</definedName>
    <definedName name="sadd">{"DCF","UPSIDE CASE",FALSE,"Sheet1";"DCF","BASE CASE",FALSE,"Sheet1";"DCF","DOWNSIDE CASE",FALSE,"Sheet1"}</definedName>
    <definedName name="sdasd" localSheetId="9">{"EVA",#N/A,FALSE,"EVA";"WACC",#N/A,FALSE,"WACC"}</definedName>
    <definedName name="sdasd">{"EVA",#N/A,FALSE,"EVA";"WACC",#N/A,FALSE,"WACC"}</definedName>
    <definedName name="segfsdvgfsd" localSheetId="9">{"page1",#N/A,FALSE,"BHCOMPC5";"page2",#N/A,FALSE,"BHCOMPC5";"page3",#N/A,FALSE,"BHCOMPC5";"page4",#N/A,FALSE,"BHCOMPC5"}</definedName>
    <definedName name="segfsdvgfsd">{"page1",#N/A,FALSE,"BHCOMPC5";"page2",#N/A,FALSE,"BHCOMPC5";"page3",#N/A,FALSE,"BHCOMPC5";"page4",#N/A,FALSE,"BHCOMPC5"}</definedName>
    <definedName name="sfads" localSheetId="9">{"EVA",#N/A,FALSE,"EVA";"WACC",#N/A,FALSE,"WACC"}</definedName>
    <definedName name="sfads">{"EVA",#N/A,FALSE,"EVA";"WACC",#N/A,FALSE,"WACC"}</definedName>
    <definedName name="sgag" localSheetId="9">{"page1",#N/A,FALSE,"BHCOMPC5";"page2",#N/A,FALSE,"BHCOMPC5";"page3",#N/A,FALSE,"BHCOMPC5";"page4",#N/A,FALSE,"BHCOMPC5"}</definedName>
    <definedName name="sgag">{"page1",#N/A,FALSE,"BHCOMPC5";"page2",#N/A,FALSE,"BHCOMPC5";"page3",#N/A,FALSE,"BHCOMPC5";"page4",#N/A,FALSE,"BHCOMPC5"}</definedName>
    <definedName name="ss" localSheetId="9">{"DCF1",#N/A,FALSE,"SIERRA DCF";"MATRIX1",#N/A,FALSE,"SIERRA DCF"}</definedName>
    <definedName name="ss">{"DCF1",#N/A,FALSE,"SIERRA DCF";"MATRIX1",#N/A,FALSE,"SIERRA DCF"}</definedName>
    <definedName name="w" localSheetId="9">{"DCF1",#N/A,FALSE,"SIERRA DCF";"MATRIX1",#N/A,FALSE,"SIERRA DCF"}</definedName>
    <definedName name="w">{"DCF1",#N/A,FALSE,"SIERRA DCF";"MATRIX1",#N/A,FALSE,"SIERRA DCF"}</definedName>
    <definedName name="WACC3" localSheetId="9">{"adj95mult",#N/A,FALSE,"COMPCO";"adj95est",#N/A,FALSE,"COMPCO"}</definedName>
    <definedName name="WACC3">{"adj95mult",#N/A,FALSE,"COMPCO";"adj95est",#N/A,FALSE,"COMPCO"}</definedName>
    <definedName name="wrn.Acquisition_matrix." localSheetId="9">{"Acq_matrix",#N/A,FALSE,"Acquisition Matrix"}</definedName>
    <definedName name="wrn.Acquisition_matrix.">{"Acq_matrix",#N/A,FALSE,"Acquisition Matrix"}</definedName>
    <definedName name="wrn.adj95." localSheetId="9">{"adj95mult",#N/A,FALSE,"COMPCO";"adj95est",#N/A,FALSE,"COMPCO"}</definedName>
    <definedName name="wrn.adj95.">{"adj95mult",#N/A,FALSE,"COMPCO";"adj95est",#N/A,FALSE,"COMPCO"}</definedName>
    <definedName name="wrn.All." localSheetId="9">{"Matrix",#N/A,FALSE,"ACQMTRX";"Fees",#N/A,FALSE,"ACQMTRX"}</definedName>
    <definedName name="wrn.All.">{"Matrix",#N/A,FALSE,"ACQMTRX";"Fees",#N/A,FALSE,"ACQMTRX"}</definedName>
    <definedName name="wrn.AQUIROR._.DCF." localSheetId="9">{"AQUIRORDCF",#N/A,FALSE,"Merger consequences";"Acquirorassns",#N/A,FALSE,"Merger consequences"}</definedName>
    <definedName name="wrn.AQUIROR._.DCF.">{"AQUIRORDCF",#N/A,FALSE,"Merger consequences";"Acquirorassns",#N/A,FALSE,"Merger consequences"}</definedName>
    <definedName name="wrn.backup." localSheetId="9">{"background",#N/A,FALSE,"CS First Boston Merger Model";"inputs",#N/A,FALSE,"CS First Boston Merger Model"}</definedName>
    <definedName name="wrn.backup.">{"background",#N/A,FALSE,"CS First Boston Merger Model";"inputs",#N/A,FALSE,"CS First Boston Merger Model"}</definedName>
    <definedName name="wrn.compco." localSheetId="9">{"mult96",#N/A,FALSE,"PETCOMP";"est96",#N/A,FALSE,"PETCOMP";"mult95",#N/A,FALSE,"PETCOMP";"est95",#N/A,FALSE,"PETCOMP";"multltm",#N/A,FALSE,"PETCOMP";"resultltm",#N/A,FALSE,"PETCOMP"}</definedName>
    <definedName name="wrn.compco.">{"mult96",#N/A,FALSE,"PETCOMP";"est96",#N/A,FALSE,"PETCOMP";"mult95",#N/A,FALSE,"PETCOMP";"est95",#N/A,FALSE,"PETCOMP";"multltm",#N/A,FALSE,"PETCOMP";"resultltm",#N/A,FALSE,"PETCOMP"}</definedName>
    <definedName name="wrn.compco2" localSheetId="9">{"page1",#N/A,FALSE,"BHCOMPC5";"page2",#N/A,FALSE,"BHCOMPC5";"page3",#N/A,FALSE,"BHCOMPC5";"page4",#N/A,FALSE,"BHCOMPC5"}</definedName>
    <definedName name="wrn.compco2">{"page1",#N/A,FALSE,"BHCOMPC5";"page2",#N/A,FALSE,"BHCOMPC5";"page3",#N/A,FALSE,"BHCOMPC5";"page4",#N/A,FALSE,"BHCOMPC5"}</definedName>
    <definedName name="wrn.DCF." localSheetId="9">{"DCF1",#N/A,FALSE,"SIERRA DCF";"MATRIX1",#N/A,FALSE,"SIERRA DCF"}</definedName>
    <definedName name="wrn.DCF.">{"DCF1",#N/A,FALSE,"SIERRA DCF";"MATRIX1",#N/A,FALSE,"SIERRA DCF"}</definedName>
    <definedName name="wrn.DCF_Terminal_Value_qchm." localSheetId="9">{"qchm_dcf",#N/A,FALSE,"QCHMDCF2";"qchm_terminal",#N/A,FALSE,"QCHMDCF2"}</definedName>
    <definedName name="wrn.DCF_Terminal_Value_qchm.">{"qchm_dcf",#N/A,FALSE,"QCHMDCF2";"qchm_terminal",#N/A,FALSE,"QCHMDCF2"}</definedName>
    <definedName name="wrn.dcf2" localSheetId="9">{"DCF1",#N/A,FALSE,"SIERRA DCF";"MATRIX1",#N/A,FALSE,"SIERRA DCF"}</definedName>
    <definedName name="wrn.dcf2">{"DCF1",#N/A,FALSE,"SIERRA DCF";"MATRIX1",#N/A,FALSE,"SIERRA DCF"}</definedName>
    <definedName name="wrn.Economic._.Value._.Added._.Analysis." localSheetId="9">{"EVA",#N/A,FALSE,"EVA";"WACC",#N/A,FALSE,"WACC"}</definedName>
    <definedName name="wrn.Economic._.Value._.Added._.Analysis.">{"EVA",#N/A,FALSE,"EVA";"WACC",#N/A,FALSE,"WACC"}</definedName>
    <definedName name="wrn.Ferro." localSheetId="9">{"matt","zero",FALSE,"CS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OUR._.CASES." localSheetId="9">{"MODEL","ALL STOCK",FALSE,"CS First Boston Merger Model";"MODEL","ALL CASH",FALSE,"CS First Boston Merger Model";"MODEL","ALL CASH WITH EQUITY OFFERING",FALSE,"CS First Boston Merger Model";"MODEL","HALF CASH/HALF STOCK",FALSE,"CS First Boston Merger Model"}</definedName>
    <definedName name="wrn.FOUR._.CASES.">{"MODEL","ALL STOCK",FALSE,"CS First Boston Merger Model";"MODEL","ALL CASH",FALSE,"CS First Boston Merger Model";"MODEL","ALL CASH WITH EQUITY OFFERING",FALSE,"CS First Boston Merger Model";"MODEL","HALF CASH/HALF STOCK",FALSE,"CS First Boston Merger Model"}</definedName>
    <definedName name="wrn.Full." localSheetId="9">{"Comp1",#N/A,FALSE,"COMP";"Comp2",#N/A,FALSE,"COMP";"Comp3",#N/A,FALSE,"COMP";"Comp4",#N/A,FALSE,"COMP"}</definedName>
    <definedName name="wrn.Full.">{"Comp1",#N/A,FALSE,"COMP";"Comp2",#N/A,FALSE,"COMP";"Comp3",#N/A,FALSE,"COMP";"Comp4",#N/A,FALSE,"COMP"}</definedName>
    <definedName name="wrn.full._.report." localSheetId="9">{"summary",#N/A,FALSE,"Summary";"transaction",#N/A,FALSE,"Transaction";"sales",#N/A,FALSE,"Sales";"sales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newoutput" localSheetId="9">{"DCF","UPSIDE CASE",FALSE,"Sheet1";"DCF","BASE CASE",FALSE,"Sheet1";"DCF","DOWNSIDE CASE",FALSE,"Sheet1"}</definedName>
    <definedName name="wrn.newoutput">{"DCF","UPSIDE CASE",FALSE,"Sheet1";"DCF","BASE CASE",FALSE,"Sheet1";"DCF","DOWNSIDE CASE",FALSE,"Sheet1"}</definedName>
    <definedName name="wrn.OUTPUT." localSheetId="9">{"DCF","UPSIDE CASE",FALSE,"Sheet1";"DCF","BASE CASE",FALSE,"Sheet1";"DCF","DOWNSIDE CASE",FALSE,"Sheet1"}</definedName>
    <definedName name="wrn.OUTPUT.">{"DCF","UPSIDE CASE",FALSE,"Sheet1";"DCF","BASE CASE",FALSE,"Sheet1";"DCF","DOWNSIDE CASE",FALSE,"Sheet1"}</definedName>
    <definedName name="wrn.sales." localSheetId="9">{"sales",#N/A,FALSE,"Sales";"sales existing",#N/A,FALSE,"Sales";"sales rd1",#N/A,FALSE,"Sales";"sales rd2",#N/A,FALSE,"Sales"}</definedName>
    <definedName name="wrn.sales.">{"sales",#N/A,FALSE,"Sales";"sales existing",#N/A,FALSE,"Sales";"sales rd1",#N/A,FALSE,"Sales";"sales rd2",#N/A,FALSE,"Sales"}</definedName>
    <definedName name="wrn.TARGET._.DCF." localSheetId="9">{"targetdcf",#N/A,FALSE,"Merger consequences";"TARGETASSU",#N/A,FALSE,"Merger consequences";"TERMINAL VALUE",#N/A,FALSE,"Merger consequences"}</definedName>
    <definedName name="wrn.TARGET._.DCF.">{"targetdcf",#N/A,FALSE,"Merger consequences";"TARGETASSU",#N/A,FALSE,"Merger consequences";"TERMINAL VALUE",#N/A,FALSE,"Merger consequences"}</definedName>
    <definedName name="wrn.Textron." localSheetId="9">{#N/A,#N/A,FALSE,"IS";#N/A,#N/A,FALSE,"SG";#N/A,#N/A,FALSE,"FF";#N/A,#N/A,FALSE,"BS";#N/A,#N/A,FALSE,"DCF";#N/A,#N/A,FALSE,"EVA";#N/A,#N/A,FALSE,"Air";#N/A,#N/A,FALSE,"Car";#N/A,#N/A,FALSE,"Ind";#N/A,#N/A,FALSE,"Sys";#N/A,#N/A,FALSE,"Fin";#N/A,#N/A,FALSE,"Ces";#N/A,#N/A,FALSE,"Bell"}</definedName>
    <definedName name="wrn.Textron.">{#N/A,#N/A,FALSE,"IS";#N/A,#N/A,FALSE,"SG";#N/A,#N/A,FALSE,"FF";#N/A,#N/A,FALSE,"BS";#N/A,#N/A,FALSE,"DCF";#N/A,#N/A,FALSE,"EVA";#N/A,#N/A,FALSE,"Air";#N/A,#N/A,FALSE,"Car";#N/A,#N/A,FALSE,"Ind";#N/A,#N/A,FALSE,"Sys";#N/A,#N/A,FALSE,"Fin";#N/A,#N/A,FALSE,"Ces";#N/A,#N/A,FALSE,"Bell"}</definedName>
    <definedName name="wrn.three" localSheetId="9">{"EVA",#N/A,FALSE,"EVA";"WACC",#N/A,FALSE,"WACC"}</definedName>
    <definedName name="wrn.three">{"EVA",#N/A,FALSE,"EVA";"WACC",#N/A,FALSE,"WACC"}</definedName>
    <definedName name="Yes" localSheetId="9">{"adj95mult",#N/A,FALSE,"COMPCO";"adj95est",#N/A,FALSE,"COMPCO"}</definedName>
    <definedName name="Yes">{"adj95mult",#N/A,FALSE,"COMPCO";"adj95est",#N/A,FALSE,"COMPCO"}</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 i="20" l="1"/>
  <c r="H54" i="20"/>
  <c r="I53" i="20"/>
  <c r="I52" i="20"/>
  <c r="G53" i="20"/>
  <c r="G52" i="20"/>
  <c r="E32" i="20"/>
  <c r="D32" i="20"/>
  <c r="D28" i="20"/>
  <c r="E28" i="20" s="1"/>
  <c r="D27" i="20"/>
  <c r="E27" i="20" s="1"/>
  <c r="D24" i="20"/>
  <c r="E26" i="20"/>
  <c r="E25" i="20"/>
  <c r="E24" i="20"/>
  <c r="E19" i="20"/>
  <c r="Q23" i="20"/>
  <c r="Q13" i="20" s="1"/>
  <c r="Q15" i="20"/>
  <c r="Q14" i="20"/>
  <c r="Q10" i="20"/>
  <c r="H52" i="20" l="1"/>
  <c r="H53" i="20"/>
  <c r="Q11" i="20"/>
  <c r="Q12" i="20"/>
  <c r="Q16" i="20" l="1"/>
  <c r="M8" i="20" l="1"/>
  <c r="L8" i="20"/>
  <c r="K8" i="20"/>
  <c r="J8" i="20"/>
  <c r="I8" i="20"/>
  <c r="G5" i="20"/>
  <c r="H5" i="20" s="1"/>
  <c r="I5" i="20" s="1"/>
  <c r="J5" i="20" s="1"/>
  <c r="K5" i="20" s="1"/>
  <c r="L5" i="20" s="1"/>
  <c r="M5" i="20" s="1"/>
  <c r="E22" i="20" s="1"/>
  <c r="K16" i="19" l="1"/>
  <c r="W10" i="18" s="1"/>
  <c r="J16" i="19"/>
  <c r="V10" i="18" s="1"/>
  <c r="I16" i="19"/>
  <c r="U10" i="18" s="1"/>
  <c r="H16" i="19"/>
  <c r="T10" i="18" s="1"/>
  <c r="G16" i="19"/>
  <c r="S10" i="18" s="1"/>
  <c r="E2" i="19" l="1"/>
  <c r="K11" i="19"/>
  <c r="W7" i="18" s="1"/>
  <c r="J11" i="19"/>
  <c r="V7" i="18" s="1"/>
  <c r="I11" i="19"/>
  <c r="U7" i="18" s="1"/>
  <c r="H11" i="19"/>
  <c r="T7" i="18" s="1"/>
  <c r="G11" i="19"/>
  <c r="S7" i="18" s="1"/>
  <c r="R9" i="18"/>
  <c r="M9" i="18"/>
  <c r="H9" i="18"/>
  <c r="M10" i="18" s="1"/>
  <c r="R6" i="18"/>
  <c r="M6" i="18"/>
  <c r="M7" i="18" s="1"/>
  <c r="H6" i="18"/>
  <c r="Q12" i="18"/>
  <c r="P12" i="18"/>
  <c r="O12" i="18"/>
  <c r="N12" i="18"/>
  <c r="L12" i="18"/>
  <c r="K12" i="18"/>
  <c r="J12" i="18"/>
  <c r="I12" i="18"/>
  <c r="G12" i="18"/>
  <c r="F12" i="18"/>
  <c r="E12" i="18"/>
  <c r="D12" i="18"/>
  <c r="AA8" i="18"/>
  <c r="AA10" i="18" s="1"/>
  <c r="AC6" i="18"/>
  <c r="M4" i="18"/>
  <c r="R4" i="18" s="1"/>
  <c r="S4" i="18" s="1"/>
  <c r="T4" i="18" s="1"/>
  <c r="U4" i="18" s="1"/>
  <c r="V4" i="18" s="1"/>
  <c r="W4" i="18" s="1"/>
  <c r="K15" i="15"/>
  <c r="J15" i="15"/>
  <c r="I15" i="15"/>
  <c r="H15" i="15"/>
  <c r="G15" i="15"/>
  <c r="G67" i="19"/>
  <c r="P11" i="17" s="1"/>
  <c r="N13" i="17"/>
  <c r="K18" i="17"/>
  <c r="J18" i="17"/>
  <c r="I18" i="17"/>
  <c r="H18" i="17"/>
  <c r="K17" i="17"/>
  <c r="J17" i="17"/>
  <c r="I17" i="17"/>
  <c r="H17" i="17"/>
  <c r="G17" i="17"/>
  <c r="G64" i="19"/>
  <c r="G18" i="17" s="1"/>
  <c r="K23" i="17"/>
  <c r="J23" i="17"/>
  <c r="I23" i="17"/>
  <c r="H23" i="17"/>
  <c r="K22" i="17"/>
  <c r="J22" i="17"/>
  <c r="I22" i="17"/>
  <c r="H22" i="17"/>
  <c r="G22" i="17"/>
  <c r="G60" i="19"/>
  <c r="G23" i="17" s="1"/>
  <c r="K13" i="17"/>
  <c r="J13" i="17"/>
  <c r="I13" i="17"/>
  <c r="H13" i="17"/>
  <c r="G13" i="17"/>
  <c r="K12" i="17"/>
  <c r="J12" i="17"/>
  <c r="I12" i="17"/>
  <c r="H12" i="17"/>
  <c r="G12" i="17"/>
  <c r="K8" i="17"/>
  <c r="J8" i="17"/>
  <c r="I8" i="17"/>
  <c r="H8" i="17"/>
  <c r="G8" i="17"/>
  <c r="K7" i="17"/>
  <c r="J7" i="17"/>
  <c r="I7" i="17"/>
  <c r="H7" i="17"/>
  <c r="G7" i="17"/>
  <c r="K11" i="15"/>
  <c r="J11" i="15"/>
  <c r="I11" i="15"/>
  <c r="H11" i="15"/>
  <c r="G11" i="15"/>
  <c r="K10" i="15"/>
  <c r="J10" i="15"/>
  <c r="I10" i="15"/>
  <c r="H10" i="15"/>
  <c r="G10" i="15"/>
  <c r="K7" i="16"/>
  <c r="J7" i="16"/>
  <c r="I7" i="16"/>
  <c r="H7" i="16"/>
  <c r="G7" i="16"/>
  <c r="K6" i="16"/>
  <c r="J6" i="16"/>
  <c r="I6" i="16"/>
  <c r="H6" i="16"/>
  <c r="G6" i="16"/>
  <c r="E37" i="19"/>
  <c r="F37" i="19"/>
  <c r="G37" i="19"/>
  <c r="H37" i="19"/>
  <c r="I37" i="19"/>
  <c r="J37" i="19"/>
  <c r="K37" i="19"/>
  <c r="E36" i="19"/>
  <c r="F36" i="19"/>
  <c r="G36" i="19" s="1"/>
  <c r="H36" i="19" s="1"/>
  <c r="I36" i="19" s="1"/>
  <c r="J36" i="19" s="1"/>
  <c r="K36" i="19" s="1"/>
  <c r="R12" i="18" l="1"/>
  <c r="R7" i="18"/>
  <c r="H12" i="18"/>
  <c r="M12" i="18"/>
  <c r="M13" i="18" s="1"/>
  <c r="R10" i="18"/>
  <c r="S6" i="18"/>
  <c r="E7" i="19"/>
  <c r="F7" i="19" s="1"/>
  <c r="G7" i="19" s="1"/>
  <c r="H7" i="19" s="1"/>
  <c r="I7" i="19" s="1"/>
  <c r="J7" i="19" s="1"/>
  <c r="K7" i="19" s="1"/>
  <c r="T6" i="18" l="1"/>
  <c r="R13" i="18"/>
  <c r="S9" i="18"/>
  <c r="T9" i="18" s="1"/>
  <c r="U9" i="18" s="1"/>
  <c r="V9" i="18" s="1"/>
  <c r="W9" i="18" s="1"/>
  <c r="G48" i="17"/>
  <c r="S12" i="18" l="1"/>
  <c r="S13" i="18" s="1"/>
  <c r="U6" i="18"/>
  <c r="T12" i="18"/>
  <c r="F114" i="1"/>
  <c r="G112" i="1" s="1"/>
  <c r="G33" i="17" s="1"/>
  <c r="K106" i="1"/>
  <c r="K44" i="17" s="1"/>
  <c r="J106" i="1"/>
  <c r="J44" i="17" s="1"/>
  <c r="I106" i="1"/>
  <c r="I44" i="17" s="1"/>
  <c r="H106" i="1"/>
  <c r="H44" i="17" s="1"/>
  <c r="K105" i="1"/>
  <c r="K43" i="17" s="1"/>
  <c r="J105" i="1"/>
  <c r="J43" i="17" s="1"/>
  <c r="I105" i="1"/>
  <c r="I43" i="17" s="1"/>
  <c r="H105" i="1"/>
  <c r="H43" i="17" s="1"/>
  <c r="K104" i="1"/>
  <c r="K42" i="17" s="1"/>
  <c r="J104" i="1"/>
  <c r="J42" i="17" s="1"/>
  <c r="I104" i="1"/>
  <c r="I42" i="17" s="1"/>
  <c r="H104" i="1"/>
  <c r="H42" i="17" s="1"/>
  <c r="K103" i="1"/>
  <c r="K41" i="17" s="1"/>
  <c r="J103" i="1"/>
  <c r="J41" i="17" s="1"/>
  <c r="I103" i="1"/>
  <c r="I41" i="17" s="1"/>
  <c r="H103" i="1"/>
  <c r="H41" i="17" s="1"/>
  <c r="K102" i="1"/>
  <c r="K40" i="17" s="1"/>
  <c r="J102" i="1"/>
  <c r="J40" i="17" s="1"/>
  <c r="I102" i="1"/>
  <c r="I40" i="17" s="1"/>
  <c r="H102" i="1"/>
  <c r="H40" i="17" s="1"/>
  <c r="K101" i="1"/>
  <c r="K39" i="17" s="1"/>
  <c r="J101" i="1"/>
  <c r="J39" i="17" s="1"/>
  <c r="I101" i="1"/>
  <c r="I39" i="17" s="1"/>
  <c r="H101" i="1"/>
  <c r="H39" i="17" s="1"/>
  <c r="K99" i="1"/>
  <c r="K37" i="17" s="1"/>
  <c r="J99" i="1"/>
  <c r="J37" i="17" s="1"/>
  <c r="I99" i="1"/>
  <c r="I37" i="17" s="1"/>
  <c r="H99" i="1"/>
  <c r="H37" i="17" s="1"/>
  <c r="K98" i="1"/>
  <c r="K36" i="17" s="1"/>
  <c r="J98" i="1"/>
  <c r="J36" i="17" s="1"/>
  <c r="I98" i="1"/>
  <c r="I36" i="17" s="1"/>
  <c r="H98" i="1"/>
  <c r="H36" i="17" s="1"/>
  <c r="G105" i="1"/>
  <c r="G43" i="17" s="1"/>
  <c r="G104" i="1"/>
  <c r="G42" i="17" s="1"/>
  <c r="G103" i="1"/>
  <c r="G41" i="17" s="1"/>
  <c r="G102" i="1"/>
  <c r="G40" i="17" s="1"/>
  <c r="G101" i="1"/>
  <c r="G39" i="17" s="1"/>
  <c r="G99" i="1"/>
  <c r="G37" i="17" s="1"/>
  <c r="G98" i="1"/>
  <c r="G36" i="17" s="1"/>
  <c r="R10" i="17"/>
  <c r="R9" i="17"/>
  <c r="R11" i="17" s="1"/>
  <c r="R8" i="17"/>
  <c r="R7" i="17"/>
  <c r="Q11" i="17"/>
  <c r="G106" i="1"/>
  <c r="G44" i="17" s="1"/>
  <c r="F24" i="17"/>
  <c r="G21" i="17" s="1"/>
  <c r="E24" i="17"/>
  <c r="F21" i="17" s="1"/>
  <c r="D24" i="17"/>
  <c r="E21" i="17" s="1"/>
  <c r="F19" i="17"/>
  <c r="G16" i="17" s="1"/>
  <c r="E19" i="17"/>
  <c r="F16" i="17" s="1"/>
  <c r="D19" i="17"/>
  <c r="E16" i="17" s="1"/>
  <c r="G11" i="17"/>
  <c r="G14" i="17" s="1"/>
  <c r="H11" i="17" s="1"/>
  <c r="F11" i="17"/>
  <c r="E11" i="17"/>
  <c r="F9" i="17"/>
  <c r="G6" i="17" s="1"/>
  <c r="G9" i="17" s="1"/>
  <c r="H6" i="17" s="1"/>
  <c r="H9" i="17" s="1"/>
  <c r="I6" i="17" s="1"/>
  <c r="I9" i="17" s="1"/>
  <c r="J6" i="17" s="1"/>
  <c r="J9" i="17" s="1"/>
  <c r="K6" i="17" s="1"/>
  <c r="K9" i="17" s="1"/>
  <c r="K62" i="1" s="1"/>
  <c r="E9" i="17"/>
  <c r="F6" i="17" s="1"/>
  <c r="D9" i="17"/>
  <c r="E6" i="17" s="1"/>
  <c r="K12" i="16"/>
  <c r="K100" i="1" s="1"/>
  <c r="K38" i="17" s="1"/>
  <c r="J12" i="16"/>
  <c r="J100" i="1" s="1"/>
  <c r="J38" i="17" s="1"/>
  <c r="I12" i="16"/>
  <c r="I100" i="1" s="1"/>
  <c r="I38" i="17" s="1"/>
  <c r="H12" i="16"/>
  <c r="H100" i="1" s="1"/>
  <c r="H38" i="17" s="1"/>
  <c r="G12" i="16"/>
  <c r="G100" i="1" s="1"/>
  <c r="G38" i="17" s="1"/>
  <c r="F12" i="16"/>
  <c r="E12" i="16"/>
  <c r="F13" i="16"/>
  <c r="G10" i="16" s="1"/>
  <c r="E13" i="16"/>
  <c r="F10" i="16" s="1"/>
  <c r="D13" i="16"/>
  <c r="E10" i="16" s="1"/>
  <c r="F96" i="1"/>
  <c r="E96" i="1"/>
  <c r="D96" i="1"/>
  <c r="F91" i="1"/>
  <c r="E91" i="1"/>
  <c r="D91" i="1"/>
  <c r="G65" i="1"/>
  <c r="H65" i="1" s="1"/>
  <c r="I65" i="1" s="1"/>
  <c r="J65" i="1" s="1"/>
  <c r="K65" i="1" s="1"/>
  <c r="G64" i="1"/>
  <c r="H64" i="1" s="1"/>
  <c r="I64" i="1" s="1"/>
  <c r="H47" i="1"/>
  <c r="I47" i="1" s="1"/>
  <c r="J47" i="1" s="1"/>
  <c r="K47" i="1" s="1"/>
  <c r="G47" i="1"/>
  <c r="G46" i="1"/>
  <c r="H46" i="1" s="1"/>
  <c r="I46" i="1" s="1"/>
  <c r="J46" i="1" s="1"/>
  <c r="K46" i="1" s="1"/>
  <c r="G35" i="1"/>
  <c r="H35" i="1" s="1"/>
  <c r="I35" i="1" s="1"/>
  <c r="J35" i="1" s="1"/>
  <c r="K35" i="1" s="1"/>
  <c r="G44" i="1"/>
  <c r="H44" i="1" s="1"/>
  <c r="I44" i="1" s="1"/>
  <c r="J44" i="1" s="1"/>
  <c r="K44" i="1" s="1"/>
  <c r="G42" i="1"/>
  <c r="H42" i="1" s="1"/>
  <c r="I42" i="1" s="1"/>
  <c r="J42" i="1" s="1"/>
  <c r="K42" i="1" s="1"/>
  <c r="K41" i="1" a="1"/>
  <c r="K41" i="1" s="1"/>
  <c r="J41" i="1" a="1"/>
  <c r="J41" i="1" s="1"/>
  <c r="I41" i="1" a="1"/>
  <c r="I41" i="1" s="1"/>
  <c r="H41" i="1" a="1"/>
  <c r="H41" i="1" s="1"/>
  <c r="G41" i="1" a="1"/>
  <c r="G41" i="1" s="1"/>
  <c r="K40" i="1" a="1"/>
  <c r="K40" i="1" s="1"/>
  <c r="J40" i="1" a="1"/>
  <c r="J40" i="1" s="1"/>
  <c r="I40" i="1" a="1"/>
  <c r="I40" i="1" s="1"/>
  <c r="H40" i="1" a="1"/>
  <c r="H40" i="1" s="1"/>
  <c r="G40" i="1" a="1"/>
  <c r="G40" i="1" s="1"/>
  <c r="T13" i="18" l="1"/>
  <c r="G5" i="1"/>
  <c r="H5" i="1"/>
  <c r="V6" i="18"/>
  <c r="U12" i="18"/>
  <c r="U13" i="18" s="1"/>
  <c r="I62" i="1"/>
  <c r="J62" i="1"/>
  <c r="G62" i="1"/>
  <c r="H62" i="1"/>
  <c r="G26" i="17"/>
  <c r="H26" i="17"/>
  <c r="I26" i="17"/>
  <c r="J26" i="17"/>
  <c r="K26" i="17"/>
  <c r="G24" i="17"/>
  <c r="G19" i="17"/>
  <c r="H14" i="17"/>
  <c r="I11" i="17" s="1"/>
  <c r="J64" i="1"/>
  <c r="E4" i="17"/>
  <c r="F4" i="17" s="1"/>
  <c r="G4" i="17" s="1"/>
  <c r="H4" i="17" s="1"/>
  <c r="I4" i="17" s="1"/>
  <c r="J4" i="17" s="1"/>
  <c r="K4" i="17" s="1"/>
  <c r="W6" i="18" l="1"/>
  <c r="W12" i="18" s="1"/>
  <c r="V12" i="18"/>
  <c r="V13" i="18" s="1"/>
  <c r="I5" i="1"/>
  <c r="H16" i="17"/>
  <c r="H19" i="17" s="1"/>
  <c r="G57" i="1"/>
  <c r="H21" i="17"/>
  <c r="H24" i="17" s="1"/>
  <c r="G63" i="1"/>
  <c r="G66" i="1" s="1"/>
  <c r="I14" i="17"/>
  <c r="J11" i="17" s="1"/>
  <c r="K64" i="1"/>
  <c r="F15" i="15"/>
  <c r="G58" i="1" s="1"/>
  <c r="F14" i="15"/>
  <c r="F11" i="15"/>
  <c r="G38" i="1" s="1"/>
  <c r="F10" i="15"/>
  <c r="F9" i="15"/>
  <c r="E15" i="15"/>
  <c r="E14" i="15"/>
  <c r="E11" i="15"/>
  <c r="E10" i="15"/>
  <c r="E9" i="15"/>
  <c r="D15" i="15"/>
  <c r="D14" i="15"/>
  <c r="D11" i="15"/>
  <c r="D10" i="15"/>
  <c r="D9" i="15"/>
  <c r="F6" i="15"/>
  <c r="E6" i="15"/>
  <c r="D6" i="15"/>
  <c r="F5" i="15"/>
  <c r="E5" i="15"/>
  <c r="D5" i="15"/>
  <c r="E4" i="15"/>
  <c r="F4" i="15" s="1"/>
  <c r="G4" i="15" s="1"/>
  <c r="H4" i="15" s="1"/>
  <c r="I4" i="15" s="1"/>
  <c r="J4" i="15" s="1"/>
  <c r="K4" i="15" s="1"/>
  <c r="F26" i="14"/>
  <c r="E26" i="14"/>
  <c r="D26" i="14"/>
  <c r="F22" i="14"/>
  <c r="E22" i="14"/>
  <c r="K23" i="14"/>
  <c r="J23" i="14"/>
  <c r="I23" i="14"/>
  <c r="H23" i="14"/>
  <c r="G23" i="14"/>
  <c r="F24" i="14"/>
  <c r="G21" i="14" s="1"/>
  <c r="E24" i="14"/>
  <c r="F21" i="14" s="1"/>
  <c r="D24" i="14"/>
  <c r="E21" i="14" s="1"/>
  <c r="W13" i="18" l="1"/>
  <c r="K5" i="1"/>
  <c r="J5" i="1"/>
  <c r="G24" i="14"/>
  <c r="G45" i="1" s="1"/>
  <c r="E27" i="14"/>
  <c r="F27" i="14"/>
  <c r="I21" i="17"/>
  <c r="I24" i="17" s="1"/>
  <c r="H63" i="1"/>
  <c r="H66" i="1" s="1"/>
  <c r="I16" i="17"/>
  <c r="I19" i="17" s="1"/>
  <c r="H57" i="1"/>
  <c r="J14" i="17"/>
  <c r="K11" i="17" s="1"/>
  <c r="H58" i="1"/>
  <c r="F16" i="15"/>
  <c r="D12" i="15"/>
  <c r="E16" i="15"/>
  <c r="H38" i="1"/>
  <c r="E12" i="15"/>
  <c r="E21" i="15"/>
  <c r="E46" i="19" s="1"/>
  <c r="E22" i="15"/>
  <c r="E47" i="19" s="1"/>
  <c r="F22" i="15"/>
  <c r="F47" i="19" s="1"/>
  <c r="F12" i="15"/>
  <c r="F21" i="15"/>
  <c r="F46" i="19" s="1"/>
  <c r="D16" i="15"/>
  <c r="E24" i="15"/>
  <c r="E48" i="19" s="1"/>
  <c r="F24" i="15"/>
  <c r="F48" i="19" s="1"/>
  <c r="H21" i="14" l="1"/>
  <c r="H24" i="14" s="1"/>
  <c r="I21" i="14" s="1"/>
  <c r="I24" i="14" s="1"/>
  <c r="G27" i="14"/>
  <c r="G26" i="14" s="1"/>
  <c r="H27" i="14"/>
  <c r="J27" i="14"/>
  <c r="I27" i="14"/>
  <c r="K27" i="14"/>
  <c r="F18" i="15"/>
  <c r="E18" i="15"/>
  <c r="J16" i="17"/>
  <c r="J19" i="17" s="1"/>
  <c r="I57" i="1"/>
  <c r="J21" i="17"/>
  <c r="J24" i="17" s="1"/>
  <c r="I63" i="1"/>
  <c r="I66" i="1" s="1"/>
  <c r="K14" i="17"/>
  <c r="I58" i="1"/>
  <c r="D18" i="15"/>
  <c r="I38" i="1"/>
  <c r="H45" i="1" l="1"/>
  <c r="H26" i="14"/>
  <c r="I26" i="14"/>
  <c r="J21" i="14"/>
  <c r="J26" i="14" s="1"/>
  <c r="I45" i="1"/>
  <c r="K21" i="17"/>
  <c r="K24" i="17" s="1"/>
  <c r="K63" i="1" s="1"/>
  <c r="K66" i="1" s="1"/>
  <c r="J63" i="1"/>
  <c r="J66" i="1" s="1"/>
  <c r="K16" i="17"/>
  <c r="K19" i="17" s="1"/>
  <c r="K57" i="1" s="1"/>
  <c r="J57" i="1"/>
  <c r="G21" i="15"/>
  <c r="I21" i="15"/>
  <c r="J21" i="15"/>
  <c r="K21" i="15"/>
  <c r="H21" i="15"/>
  <c r="J58" i="1"/>
  <c r="J38" i="1"/>
  <c r="J24" i="14" l="1"/>
  <c r="K21" i="14" s="1"/>
  <c r="K58" i="1"/>
  <c r="K38" i="1"/>
  <c r="J45" i="1" l="1"/>
  <c r="K24" i="14"/>
  <c r="K45" i="1" s="1"/>
  <c r="K26" i="14"/>
  <c r="F23" i="14"/>
  <c r="E23" i="14"/>
  <c r="D23" i="14"/>
  <c r="E16" i="14"/>
  <c r="F14" i="14"/>
  <c r="F27" i="1" s="1"/>
  <c r="E14" i="14"/>
  <c r="E27" i="1" s="1"/>
  <c r="D14" i="14"/>
  <c r="D27" i="1" s="1"/>
  <c r="F12" i="14"/>
  <c r="G9" i="14" s="1"/>
  <c r="E12" i="14"/>
  <c r="F9" i="14" s="1"/>
  <c r="D12" i="14"/>
  <c r="E9" i="14" s="1"/>
  <c r="E4" i="1"/>
  <c r="F4" i="1" s="1"/>
  <c r="G4" i="1" s="1"/>
  <c r="H4" i="1" s="1"/>
  <c r="I4" i="1" s="1"/>
  <c r="J4" i="1" s="1"/>
  <c r="K4" i="1" s="1"/>
  <c r="E6" i="1"/>
  <c r="F6" i="1"/>
  <c r="D8" i="1"/>
  <c r="E8" i="1"/>
  <c r="F8" i="1"/>
  <c r="D9" i="1"/>
  <c r="E9" i="1"/>
  <c r="F9" i="1"/>
  <c r="F18" i="1" s="1"/>
  <c r="D12" i="1"/>
  <c r="E12" i="1"/>
  <c r="F12" i="1"/>
  <c r="D14" i="1"/>
  <c r="E14" i="1"/>
  <c r="F14" i="1"/>
  <c r="D16" i="1"/>
  <c r="E16" i="1"/>
  <c r="F16" i="1"/>
  <c r="D17" i="1"/>
  <c r="E17" i="1"/>
  <c r="F17" i="1"/>
  <c r="F4" i="16"/>
  <c r="G4" i="16" s="1"/>
  <c r="H4" i="16" s="1"/>
  <c r="I4" i="16" s="1"/>
  <c r="J4" i="16" s="1"/>
  <c r="K4" i="16" s="1"/>
  <c r="E4" i="16"/>
  <c r="F6" i="14"/>
  <c r="F10" i="14" s="1"/>
  <c r="E6" i="14"/>
  <c r="E10" i="14" s="1"/>
  <c r="D6" i="14"/>
  <c r="D10" i="14" s="1"/>
  <c r="F5" i="14"/>
  <c r="E5" i="14"/>
  <c r="D5" i="14"/>
  <c r="E4" i="14"/>
  <c r="F4" i="14" s="1"/>
  <c r="G4" i="14" s="1"/>
  <c r="H4" i="14" s="1"/>
  <c r="I4" i="14" s="1"/>
  <c r="J4" i="14" s="1"/>
  <c r="K4" i="14" s="1"/>
  <c r="F39" i="1"/>
  <c r="F48" i="1"/>
  <c r="F59" i="1"/>
  <c r="F66" i="1"/>
  <c r="F72" i="1"/>
  <c r="F8" i="16" s="1"/>
  <c r="G5" i="16" s="1"/>
  <c r="G8" i="16" s="1"/>
  <c r="E47" i="1"/>
  <c r="E72" i="1"/>
  <c r="E8" i="16" s="1"/>
  <c r="F5" i="16" s="1"/>
  <c r="E66" i="1"/>
  <c r="E59" i="1"/>
  <c r="E39" i="1"/>
  <c r="D72" i="1"/>
  <c r="D8" i="16" s="1"/>
  <c r="E5" i="16" s="1"/>
  <c r="D66" i="1"/>
  <c r="D59" i="1"/>
  <c r="D47" i="1"/>
  <c r="D48" i="1" s="1"/>
  <c r="D39" i="1"/>
  <c r="D18" i="1" l="1"/>
  <c r="D20" i="1" s="1"/>
  <c r="D22" i="1" s="1"/>
  <c r="D11" i="16" s="1"/>
  <c r="F16" i="14"/>
  <c r="F17" i="14" s="1"/>
  <c r="D16" i="14"/>
  <c r="D7" i="14"/>
  <c r="H5" i="16"/>
  <c r="H8" i="16" s="1"/>
  <c r="G72" i="1"/>
  <c r="F74" i="1"/>
  <c r="F76" i="1" s="1"/>
  <c r="E18" i="1"/>
  <c r="E20" i="1" s="1"/>
  <c r="E22" i="1" s="1"/>
  <c r="E11" i="16" s="1"/>
  <c r="E17" i="14"/>
  <c r="F50" i="1"/>
  <c r="F20" i="1"/>
  <c r="F22" i="1" s="1"/>
  <c r="F11" i="16" s="1"/>
  <c r="E7" i="14"/>
  <c r="F7" i="14"/>
  <c r="E48" i="1"/>
  <c r="E50" i="1" s="1"/>
  <c r="E74" i="1"/>
  <c r="E76" i="1" s="1"/>
  <c r="D50" i="1"/>
  <c r="D74" i="1"/>
  <c r="D76" i="1" s="1"/>
  <c r="D26" i="1" l="1"/>
  <c r="E26" i="1"/>
  <c r="F78" i="1"/>
  <c r="F26" i="1"/>
  <c r="I5" i="16"/>
  <c r="I8" i="16" s="1"/>
  <c r="H72" i="1"/>
  <c r="G11" i="1"/>
  <c r="G32" i="1"/>
  <c r="G81" i="1" s="1"/>
  <c r="H32" i="1"/>
  <c r="H81" i="1" s="1"/>
  <c r="I32" i="1"/>
  <c r="I81" i="1" s="1"/>
  <c r="J32" i="1"/>
  <c r="J81" i="1" s="1"/>
  <c r="K32" i="1"/>
  <c r="K81" i="1" s="1"/>
  <c r="H5" i="15" l="1"/>
  <c r="H9" i="15" s="1"/>
  <c r="G15" i="1"/>
  <c r="G5" i="15"/>
  <c r="G9" i="15" s="1"/>
  <c r="G13" i="1"/>
  <c r="G5" i="14"/>
  <c r="G6" i="14" s="1"/>
  <c r="G7" i="1"/>
  <c r="G6" i="15" s="1"/>
  <c r="G14" i="15" s="1"/>
  <c r="I72" i="1"/>
  <c r="J5" i="16"/>
  <c r="J8" i="16" s="1"/>
  <c r="E78" i="1"/>
  <c r="D78" i="1"/>
  <c r="E32" i="1"/>
  <c r="E81" i="1" s="1"/>
  <c r="D32" i="1"/>
  <c r="D81" i="1" s="1"/>
  <c r="F32" i="1"/>
  <c r="F81" i="1" s="1"/>
  <c r="H36" i="1" l="1"/>
  <c r="I5" i="15"/>
  <c r="I9" i="15" s="1"/>
  <c r="H13" i="1"/>
  <c r="H5" i="14"/>
  <c r="H6" i="14" s="1"/>
  <c r="H10" i="14" s="1"/>
  <c r="H15" i="1"/>
  <c r="H11" i="1"/>
  <c r="H7" i="1"/>
  <c r="H9" i="1" s="1"/>
  <c r="G17" i="1"/>
  <c r="G12" i="15"/>
  <c r="G9" i="1"/>
  <c r="K5" i="16"/>
  <c r="K8" i="16" s="1"/>
  <c r="K72" i="1" s="1"/>
  <c r="J72" i="1"/>
  <c r="G94" i="1"/>
  <c r="G10" i="14"/>
  <c r="G16" i="14" s="1"/>
  <c r="G96" i="1" l="1"/>
  <c r="G35" i="17" s="1"/>
  <c r="I10" i="20"/>
  <c r="G36" i="1"/>
  <c r="I13" i="1"/>
  <c r="I5" i="14"/>
  <c r="I6" i="14" s="1"/>
  <c r="I10" i="14" s="1"/>
  <c r="J5" i="15"/>
  <c r="J9" i="15" s="1"/>
  <c r="I11" i="1"/>
  <c r="I15" i="1"/>
  <c r="I7" i="1"/>
  <c r="I9" i="1" s="1"/>
  <c r="H94" i="1"/>
  <c r="H17" i="1"/>
  <c r="H18" i="1" s="1"/>
  <c r="J7" i="20" s="1"/>
  <c r="J9" i="20" s="1"/>
  <c r="G18" i="1"/>
  <c r="I7" i="20" s="1"/>
  <c r="I9" i="20" s="1"/>
  <c r="H6" i="15"/>
  <c r="H14" i="15" s="1"/>
  <c r="I36" i="1"/>
  <c r="H12" i="15"/>
  <c r="G11" i="14"/>
  <c r="G12" i="14" s="1"/>
  <c r="G14" i="14"/>
  <c r="I6" i="15" l="1"/>
  <c r="I14" i="15" s="1"/>
  <c r="H96" i="1"/>
  <c r="H35" i="17" s="1"/>
  <c r="J10" i="20"/>
  <c r="I94" i="1"/>
  <c r="I17" i="1"/>
  <c r="I18" i="1" s="1"/>
  <c r="K7" i="20" s="1"/>
  <c r="K9" i="20" s="1"/>
  <c r="J5" i="14"/>
  <c r="J6" i="14" s="1"/>
  <c r="J94" i="1" s="1"/>
  <c r="J15" i="1"/>
  <c r="J11" i="1"/>
  <c r="J7" i="1"/>
  <c r="J6" i="15" s="1"/>
  <c r="J14" i="15" s="1"/>
  <c r="J13" i="1"/>
  <c r="K5" i="15"/>
  <c r="K9" i="15" s="1"/>
  <c r="J36" i="1"/>
  <c r="I12" i="15"/>
  <c r="G83" i="1"/>
  <c r="G27" i="1"/>
  <c r="H9" i="14"/>
  <c r="H16" i="14" s="1"/>
  <c r="G43" i="1"/>
  <c r="G48" i="1" s="1"/>
  <c r="G26" i="1" l="1"/>
  <c r="I11" i="20"/>
  <c r="J96" i="1"/>
  <c r="J35" i="17" s="1"/>
  <c r="L10" i="20"/>
  <c r="I96" i="1"/>
  <c r="I35" i="17" s="1"/>
  <c r="K10" i="20"/>
  <c r="J9" i="1"/>
  <c r="J17" i="1"/>
  <c r="J10" i="14"/>
  <c r="K5" i="14"/>
  <c r="K6" i="14" s="1"/>
  <c r="K94" i="1" s="1"/>
  <c r="K36" i="1"/>
  <c r="K11" i="1"/>
  <c r="K7" i="1"/>
  <c r="K9" i="1" s="1"/>
  <c r="K13" i="1"/>
  <c r="K15" i="1"/>
  <c r="J12" i="15"/>
  <c r="H11" i="14"/>
  <c r="H12" i="14" s="1"/>
  <c r="H14" i="14"/>
  <c r="K96" i="1" l="1"/>
  <c r="K35" i="17" s="1"/>
  <c r="M10" i="20"/>
  <c r="K12" i="15"/>
  <c r="J18" i="1"/>
  <c r="L7" i="20" s="1"/>
  <c r="L9" i="20" s="1"/>
  <c r="K10" i="14"/>
  <c r="K17" i="1"/>
  <c r="K18" i="1" s="1"/>
  <c r="M7" i="20" s="1"/>
  <c r="M9" i="20" s="1"/>
  <c r="K6" i="15"/>
  <c r="K14" i="15" s="1"/>
  <c r="I9" i="14"/>
  <c r="I16" i="14" s="1"/>
  <c r="H43" i="1"/>
  <c r="H48" i="1" s="1"/>
  <c r="H83" i="1"/>
  <c r="H27" i="1"/>
  <c r="H26" i="1" l="1"/>
  <c r="J11" i="20"/>
  <c r="I11" i="14"/>
  <c r="I12" i="14" s="1"/>
  <c r="I14" i="14"/>
  <c r="I83" i="1" l="1"/>
  <c r="I27" i="1"/>
  <c r="J9" i="14"/>
  <c r="J16" i="14" s="1"/>
  <c r="I43" i="1"/>
  <c r="I48" i="1" s="1"/>
  <c r="I26" i="1" l="1"/>
  <c r="K11" i="20"/>
  <c r="J11" i="14"/>
  <c r="J12" i="14" s="1"/>
  <c r="J14" i="14"/>
  <c r="J83" i="1" l="1"/>
  <c r="J27" i="1"/>
  <c r="K9" i="14"/>
  <c r="K16" i="14" s="1"/>
  <c r="J43" i="1"/>
  <c r="J48" i="1" s="1"/>
  <c r="J26" i="1" l="1"/>
  <c r="L11" i="20"/>
  <c r="K11" i="14"/>
  <c r="K12" i="14" s="1"/>
  <c r="K43" i="1" s="1"/>
  <c r="K48" i="1" s="1"/>
  <c r="K14" i="14"/>
  <c r="K83" i="1" l="1"/>
  <c r="K27" i="1"/>
  <c r="G24" i="15"/>
  <c r="H24" i="15"/>
  <c r="I24" i="15"/>
  <c r="J24" i="15"/>
  <c r="K24" i="15"/>
  <c r="K26" i="1" l="1"/>
  <c r="M11" i="20"/>
  <c r="G54" i="1"/>
  <c r="G16" i="15"/>
  <c r="G18" i="15" s="1"/>
  <c r="G19" i="15" s="1"/>
  <c r="G84" i="1" s="1"/>
  <c r="I12" i="20" s="1"/>
  <c r="I13" i="20" s="1"/>
  <c r="I21" i="20" s="1"/>
  <c r="H16" i="15" l="1"/>
  <c r="H18" i="15" s="1"/>
  <c r="H19" i="15" s="1"/>
  <c r="H84" i="1" s="1"/>
  <c r="J12" i="20" s="1"/>
  <c r="J13" i="20" s="1"/>
  <c r="H54" i="1"/>
  <c r="J21" i="20" l="1"/>
  <c r="J14" i="20"/>
  <c r="I16" i="15"/>
  <c r="I18" i="15" s="1"/>
  <c r="I19" i="15" s="1"/>
  <c r="I84" i="1" s="1"/>
  <c r="K12" i="20" s="1"/>
  <c r="K13" i="20" s="1"/>
  <c r="I54" i="1"/>
  <c r="K21" i="20" l="1"/>
  <c r="K14" i="20"/>
  <c r="J54" i="1"/>
  <c r="J16" i="15"/>
  <c r="J18" i="15" s="1"/>
  <c r="J19" i="15" s="1"/>
  <c r="J84" i="1" s="1"/>
  <c r="L12" i="20" s="1"/>
  <c r="L13" i="20" s="1"/>
  <c r="L21" i="20" l="1"/>
  <c r="L14" i="20"/>
  <c r="K54" i="1"/>
  <c r="K16" i="15"/>
  <c r="K18" i="15" s="1"/>
  <c r="K19" i="15" s="1"/>
  <c r="K84" i="1" s="1"/>
  <c r="M12" i="20" s="1"/>
  <c r="M13" i="20" s="1"/>
  <c r="M21" i="20" l="1"/>
  <c r="D19" i="20"/>
  <c r="D22" i="20" s="1"/>
  <c r="M14" i="20"/>
  <c r="D21" i="20" l="1"/>
  <c r="D23" i="20" s="1"/>
  <c r="D30" i="20" s="1"/>
  <c r="D34" i="20" s="1"/>
  <c r="G38" i="20" s="1"/>
  <c r="E21" i="20"/>
  <c r="E23" i="20" s="1"/>
  <c r="E30" i="20" s="1"/>
  <c r="E34" i="20" s="1"/>
  <c r="G45" i="20" s="1"/>
  <c r="G27" i="17"/>
  <c r="H27" i="17"/>
  <c r="I27" i="17"/>
  <c r="J27" i="17"/>
  <c r="K27" i="17"/>
  <c r="G29" i="17"/>
  <c r="H29" i="17"/>
  <c r="I29" i="17"/>
  <c r="J29" i="17"/>
  <c r="K29" i="17"/>
  <c r="H33" i="17"/>
  <c r="I33" i="17"/>
  <c r="J33" i="17"/>
  <c r="K33" i="17"/>
  <c r="G34" i="17"/>
  <c r="H34" i="17"/>
  <c r="I34" i="17"/>
  <c r="J34" i="17"/>
  <c r="K34" i="17"/>
  <c r="G46" i="17"/>
  <c r="H46" i="17"/>
  <c r="I46" i="17"/>
  <c r="J46" i="17"/>
  <c r="K46" i="17"/>
  <c r="H48" i="17"/>
  <c r="I48" i="17"/>
  <c r="J48" i="17"/>
  <c r="K48" i="17"/>
  <c r="G49" i="17"/>
  <c r="H49" i="17"/>
  <c r="I49" i="17"/>
  <c r="J49" i="17"/>
  <c r="K49" i="17"/>
  <c r="G50" i="17"/>
  <c r="H50" i="17"/>
  <c r="I50" i="17"/>
  <c r="J50" i="17"/>
  <c r="K50" i="17"/>
  <c r="H10" i="16"/>
  <c r="I10" i="16"/>
  <c r="J10" i="16"/>
  <c r="K10" i="16"/>
  <c r="G11" i="16"/>
  <c r="H11" i="16"/>
  <c r="I11" i="16"/>
  <c r="J11" i="16"/>
  <c r="K11" i="16"/>
  <c r="G13" i="16"/>
  <c r="H13" i="16"/>
  <c r="I13" i="16"/>
  <c r="J13" i="16"/>
  <c r="K13" i="16"/>
  <c r="G19" i="1"/>
  <c r="H19" i="1"/>
  <c r="I19" i="1"/>
  <c r="J19" i="1"/>
  <c r="K19" i="1"/>
  <c r="G20" i="1"/>
  <c r="H20" i="1"/>
  <c r="I20" i="1"/>
  <c r="J20" i="1"/>
  <c r="K20" i="1"/>
  <c r="G21" i="1"/>
  <c r="H21" i="1"/>
  <c r="I21" i="1"/>
  <c r="J21" i="1"/>
  <c r="K21" i="1"/>
  <c r="G22" i="1"/>
  <c r="H22" i="1"/>
  <c r="I22" i="1"/>
  <c r="J22" i="1"/>
  <c r="K22" i="1"/>
  <c r="G34" i="1"/>
  <c r="H34" i="1"/>
  <c r="I34" i="1"/>
  <c r="J34" i="1"/>
  <c r="K34" i="1"/>
  <c r="G39" i="1"/>
  <c r="H39" i="1"/>
  <c r="I39" i="1"/>
  <c r="J39" i="1"/>
  <c r="K39" i="1"/>
  <c r="G50" i="1"/>
  <c r="H50" i="1"/>
  <c r="I50" i="1"/>
  <c r="J50" i="1"/>
  <c r="K50" i="1"/>
  <c r="G56" i="1"/>
  <c r="H56" i="1"/>
  <c r="I56" i="1"/>
  <c r="J56" i="1"/>
  <c r="K56" i="1"/>
  <c r="G59" i="1"/>
  <c r="H59" i="1"/>
  <c r="I59" i="1"/>
  <c r="J59" i="1"/>
  <c r="K59" i="1"/>
  <c r="G73" i="1"/>
  <c r="H73" i="1"/>
  <c r="I73" i="1"/>
  <c r="J73" i="1"/>
  <c r="K73" i="1"/>
  <c r="G74" i="1"/>
  <c r="H74" i="1"/>
  <c r="I74" i="1"/>
  <c r="J74" i="1"/>
  <c r="K74" i="1"/>
  <c r="G76" i="1"/>
  <c r="H76" i="1"/>
  <c r="I76" i="1"/>
  <c r="J76" i="1"/>
  <c r="K76" i="1"/>
  <c r="G78" i="1"/>
  <c r="H78" i="1"/>
  <c r="I78" i="1"/>
  <c r="J78" i="1"/>
  <c r="K78" i="1"/>
  <c r="G82" i="1"/>
  <c r="H82" i="1"/>
  <c r="I82" i="1"/>
  <c r="J82" i="1"/>
  <c r="K82" i="1"/>
  <c r="G91" i="1"/>
  <c r="H91" i="1"/>
  <c r="I91" i="1"/>
  <c r="J91" i="1"/>
  <c r="K91" i="1"/>
  <c r="G107" i="1"/>
  <c r="H107" i="1"/>
  <c r="I107" i="1"/>
  <c r="J107" i="1"/>
  <c r="K107" i="1"/>
  <c r="G108" i="1"/>
  <c r="H108" i="1"/>
  <c r="I108" i="1"/>
  <c r="J108" i="1"/>
  <c r="K108" i="1"/>
  <c r="G110" i="1"/>
  <c r="H110" i="1"/>
  <c r="I110" i="1"/>
  <c r="J110" i="1"/>
  <c r="K110" i="1"/>
  <c r="H112" i="1"/>
  <c r="I112" i="1"/>
  <c r="J112" i="1"/>
  <c r="K112" i="1"/>
  <c r="G113" i="1"/>
  <c r="H113" i="1"/>
  <c r="I113" i="1"/>
  <c r="J113" i="1"/>
  <c r="K113" i="1"/>
  <c r="G114" i="1"/>
  <c r="H114" i="1"/>
  <c r="I114" i="1"/>
  <c r="J114" i="1"/>
  <c r="K1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Sandeep Agrawal</author>
  </authors>
  <commentList>
    <comment ref="C10" authorId="0" shapeId="0" xr:uid="{B681D574-EB4D-4A12-A4D9-1242098785E1}">
      <text>
        <r>
          <rPr>
            <b/>
            <sz val="9"/>
            <color indexed="81"/>
            <rFont val="Tahoma"/>
            <family val="2"/>
          </rPr>
          <t>Sandeep Agrawal:</t>
        </r>
        <r>
          <rPr>
            <sz val="9"/>
            <color indexed="81"/>
            <rFont val="Tahoma"/>
            <family val="2"/>
          </rPr>
          <t xml:space="preserve">
Selling General &amp; Admin Exp</t>
        </r>
      </text>
    </comment>
    <comment ref="D45" authorId="0" shapeId="0" xr:uid="{377E2885-01F3-40FA-A785-F8F995A4E686}">
      <text>
        <r>
          <rPr>
            <b/>
            <sz val="9"/>
            <color indexed="81"/>
            <rFont val="Tahoma"/>
            <family val="2"/>
          </rPr>
          <t>Sandeep Agrawal:</t>
        </r>
        <r>
          <rPr>
            <sz val="9"/>
            <color indexed="81"/>
            <rFont val="Tahoma"/>
            <family val="2"/>
          </rPr>
          <t xml:space="preserve">
AR 2024 pg 108
Intangibles Schedule</t>
        </r>
      </text>
    </comment>
    <comment ref="E45" authorId="0" shapeId="0" xr:uid="{1580737E-B948-4318-A696-953A4B8B6C60}">
      <text>
        <r>
          <rPr>
            <b/>
            <sz val="9"/>
            <color indexed="81"/>
            <rFont val="Tahoma"/>
            <family val="2"/>
          </rPr>
          <t>Sandeep Agrawal:</t>
        </r>
        <r>
          <rPr>
            <sz val="9"/>
            <color indexed="81"/>
            <rFont val="Tahoma"/>
            <family val="2"/>
          </rPr>
          <t xml:space="preserve">
AR 2024 pg 108
Intangibles Schedule</t>
        </r>
      </text>
    </comment>
    <comment ref="F45" authorId="0" shapeId="0" xr:uid="{CBCC4EA6-6904-4AF0-9B3C-429A6572EAAB}">
      <text>
        <r>
          <rPr>
            <b/>
            <sz val="9"/>
            <color indexed="81"/>
            <rFont val="Tahoma"/>
            <family val="2"/>
          </rPr>
          <t>Sandeep Agrawal:</t>
        </r>
        <r>
          <rPr>
            <sz val="9"/>
            <color indexed="81"/>
            <rFont val="Tahoma"/>
            <family val="2"/>
          </rPr>
          <t xml:space="preserve">
AR 2024 pg 108
Intangibles Schedule</t>
        </r>
      </text>
    </comment>
    <comment ref="D47" authorId="0" shapeId="0" xr:uid="{D1E37A93-7E98-4A3E-B708-3F53E50A62F4}">
      <text>
        <r>
          <rPr>
            <b/>
            <sz val="9"/>
            <color indexed="81"/>
            <rFont val="Tahoma"/>
            <family val="2"/>
          </rPr>
          <t>Sandeep Agrawal:</t>
        </r>
        <r>
          <rPr>
            <sz val="9"/>
            <color indexed="81"/>
            <rFont val="Tahoma"/>
            <family val="2"/>
          </rPr>
          <t xml:space="preserve">
AR 2024 pg 108
Intangibles Schedule</t>
        </r>
      </text>
    </comment>
    <comment ref="E47" authorId="0" shapeId="0" xr:uid="{FBDBA31F-2F77-4911-AEA8-5D682C5AC153}">
      <text>
        <r>
          <rPr>
            <b/>
            <sz val="9"/>
            <color indexed="81"/>
            <rFont val="Tahoma"/>
            <family val="2"/>
          </rPr>
          <t>Sandeep Agrawal:</t>
        </r>
        <r>
          <rPr>
            <sz val="9"/>
            <color indexed="81"/>
            <rFont val="Tahoma"/>
            <family val="2"/>
          </rPr>
          <t xml:space="preserve">
AR 2024 pg 108
Intangibles Schedule</t>
        </r>
      </text>
    </comment>
    <comment ref="C110" authorId="0" shapeId="0" xr:uid="{C8E5C1CA-4DFE-48A6-A609-073BABA7A9EB}">
      <text>
        <r>
          <rPr>
            <b/>
            <sz val="9"/>
            <color indexed="81"/>
            <rFont val="Tahoma"/>
            <family val="2"/>
          </rPr>
          <t>Sandeep Agrawal:</t>
        </r>
        <r>
          <rPr>
            <sz val="9"/>
            <color indexed="81"/>
            <rFont val="Tahoma"/>
            <family val="2"/>
          </rPr>
          <t xml:space="preserve">
Cash Generated during the 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tc={FD9BA3F9-CF2F-4DF2-B62F-86233E495839}</author>
    <author>tc={249990D4-3D89-4DBB-9006-7F80997B9D68}</author>
  </authors>
  <commentList>
    <comment ref="D15" authorId="0" shapeId="0" xr:uid="{FD9BA3F9-CF2F-4DF2-B62F-86233E495839}">
      <text>
        <t>[Threaded comment]
Your version of Excel allows you to read this threaded comment; however, any edits to it will get removed if the file is opened in a newer version of Excel. Learn more: https://go.microsoft.com/fwlink/?linkid=870924
Comment:
    Perpetuity Growth Method</t>
      </text>
    </comment>
    <comment ref="E15" authorId="1" shapeId="0" xr:uid="{249990D4-3D89-4DBB-9006-7F80997B9D68}">
      <text>
        <t>[Threaded comment]
Your version of Excel allows you to read this threaded comment; however, any edits to it will get removed if the file is opened in a newer version of Excel. Learn more: https://go.microsoft.com/fwlink/?linkid=870924
Comment:
    Exit Multiple Method</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A56A89-2FBD-42D2-8473-E9359DE78F76}" keepAlive="1" name="Query - Page091" description="Connection to the 'Page091' query in the workbook." type="5" refreshedVersion="0" background="1" saveData="1">
    <dbPr connection="Provider=Microsoft.Mashup.OleDb.1;Data Source=$Workbook$;Location=Page091;Extended Properties=&quot;&quot;" command="SELECT * FROM [Page091]"/>
  </connection>
  <connection id="2" xr16:uid="{F3E503C2-74F4-44F0-B97A-FEE150028D85}" keepAlive="1" name="Query - Table109 (Page 112)" description="Connection to the 'Table109 (Page 112)' query in the workbook." type="5" refreshedVersion="8" background="1" saveData="1">
    <dbPr connection="Provider=Microsoft.Mashup.OleDb.1;Data Source=$Workbook$;Location=&quot;Table109 (Page 112)&quot;;Extended Properties=&quot;&quot;" command="SELECT * FROM [Table109 (Page 112)]"/>
  </connection>
  <connection id="3" xr16:uid="{451B47E9-13D7-40D3-9FCC-75D2292683E1}" keepAlive="1" name="Query - Table109 (Page 112) (2)" description="Connection to the 'Table109 (Page 112) (2)' query in the workbook." type="5" refreshedVersion="0" background="1">
    <dbPr connection="Provider=Microsoft.Mashup.OleDb.1;Data Source=$Workbook$;Location=&quot;Table109 (Page 112) (2)&quot;;Extended Properties=&quot;&quot;" command="SELECT * FROM [Table109 (Page 112) (2)]"/>
  </connection>
  <connection id="4" xr16:uid="{BFE5989C-6AB2-4C8A-92E8-C7ADC69EE8B6}" keepAlive="1" name="Query - Table109 (Page 115)" description="Connection to the 'Table109 (Page 115)' query in the workbook." type="5" refreshedVersion="8" background="1" saveData="1">
    <dbPr connection="Provider=Microsoft.Mashup.OleDb.1;Data Source=$Workbook$;Location=&quot;Table109 (Page 115)&quot;;Extended Properties=&quot;&quot;" command="SELECT * FROM [Table109 (Page 11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<sst xmlns="http://schemas.openxmlformats.org/spreadsheetml/2006/main" count="471" uniqueCount="302">
  <si>
    <t>Financial Modeling &amp; DCF Valuation - Meta Platforms</t>
  </si>
  <si>
    <t>x</t>
  </si>
  <si>
    <t>For the Year Ended (FYE)</t>
  </si>
  <si>
    <t>D&amp;A</t>
  </si>
  <si>
    <t>Equity</t>
  </si>
  <si>
    <t>Revenue</t>
  </si>
  <si>
    <t>Forecasting</t>
  </si>
  <si>
    <t>Income statement</t>
  </si>
  <si>
    <t>Revenue Projection</t>
  </si>
  <si>
    <t>growth (%)</t>
  </si>
  <si>
    <t>Historical Growth</t>
  </si>
  <si>
    <t>Done</t>
  </si>
  <si>
    <t>Cost of Revenue</t>
  </si>
  <si>
    <t>Transcripts / Managements Est</t>
  </si>
  <si>
    <t>% of sales</t>
  </si>
  <si>
    <t>Revenue model</t>
  </si>
  <si>
    <t>Gross Profit</t>
  </si>
  <si>
    <t>Consensus model</t>
  </si>
  <si>
    <t>SG&amp;A</t>
  </si>
  <si>
    <t>Research and development exp</t>
  </si>
  <si>
    <t>Marketing and sales exp</t>
  </si>
  <si>
    <t>General and administrative exp</t>
  </si>
  <si>
    <t>Total Operating Exp</t>
  </si>
  <si>
    <t>Op Income (EBIT)</t>
  </si>
  <si>
    <t>Interest Income / (Expense)</t>
  </si>
  <si>
    <t>Profit Before Tax (PBT)</t>
  </si>
  <si>
    <t>Taxes</t>
  </si>
  <si>
    <t>Net Income</t>
  </si>
  <si>
    <t>EBITDA</t>
  </si>
  <si>
    <t>Balance Sheet</t>
  </si>
  <si>
    <t>As of</t>
  </si>
  <si>
    <t>Assets</t>
  </si>
  <si>
    <t>Current Assets</t>
  </si>
  <si>
    <t>Cash and cash equivalents</t>
  </si>
  <si>
    <t>Account Receivable</t>
  </si>
  <si>
    <t>Inventory</t>
  </si>
  <si>
    <t>Prepaid Exp</t>
  </si>
  <si>
    <t>Total Current Assets</t>
  </si>
  <si>
    <t>Non-Current Assets</t>
  </si>
  <si>
    <t>Non-marketable equity securities</t>
  </si>
  <si>
    <t>Property Plant and Equipment</t>
  </si>
  <si>
    <t>Goodwill</t>
  </si>
  <si>
    <t>Intangible assets, net</t>
  </si>
  <si>
    <t>Operating lease right-of-use assets, net</t>
  </si>
  <si>
    <t>Other assets</t>
  </si>
  <si>
    <t>Total Non-Current Assets</t>
  </si>
  <si>
    <t>Total Assets</t>
  </si>
  <si>
    <t>Total Liabilities</t>
  </si>
  <si>
    <t>Current Liabilities</t>
  </si>
  <si>
    <t>Account Payable</t>
  </si>
  <si>
    <t>Short Term Debt</t>
  </si>
  <si>
    <t>Operating lease liabilities, current</t>
  </si>
  <si>
    <t>Accrued expenses and other current liabilities</t>
  </si>
  <si>
    <t>Total Current Liabilities</t>
  </si>
  <si>
    <t>Non-Current Liabilities</t>
  </si>
  <si>
    <t>Long term Debt</t>
  </si>
  <si>
    <t>Operating lease liabilities, non-current</t>
  </si>
  <si>
    <t>Long-term income taxes</t>
  </si>
  <si>
    <t>Other liabilities</t>
  </si>
  <si>
    <t>Total Non-Current Liabilities</t>
  </si>
  <si>
    <t>Equity Capital</t>
  </si>
  <si>
    <t>Additional paid-in capital</t>
  </si>
  <si>
    <t>Accumulated other comprehensive income (loss)</t>
  </si>
  <si>
    <t>Total Equity Capital</t>
  </si>
  <si>
    <t>Retained Earnings</t>
  </si>
  <si>
    <t>Total Equity</t>
  </si>
  <si>
    <t>Total Liabilities &amp; Equity</t>
  </si>
  <si>
    <t>Balance Check</t>
  </si>
  <si>
    <t>Cash Flow Statement</t>
  </si>
  <si>
    <t>Depreciation &amp; Amortization</t>
  </si>
  <si>
    <t>Changes in Working Capital</t>
  </si>
  <si>
    <t>Changes in Account Receivable</t>
  </si>
  <si>
    <t>Changes in Inventory</t>
  </si>
  <si>
    <t>Changes in Other Assets</t>
  </si>
  <si>
    <t>Changes in Account Payable</t>
  </si>
  <si>
    <t>Changes in Other Liabilities</t>
  </si>
  <si>
    <t>Other Operating Cash Flows</t>
  </si>
  <si>
    <t>Cash Flow from Operations (CFO)</t>
  </si>
  <si>
    <t>Capital Expenditure</t>
  </si>
  <si>
    <t>Purchase / Acquisition of intangible assets</t>
  </si>
  <si>
    <t>Cash Flow from Investing (CFI)</t>
  </si>
  <si>
    <t>Equity Issuance / Equity Raise</t>
  </si>
  <si>
    <t>Equity Repurchase</t>
  </si>
  <si>
    <t>Dividend Paid</t>
  </si>
  <si>
    <t>Debt Issuance</t>
  </si>
  <si>
    <t>Debt Repayment</t>
  </si>
  <si>
    <t>Current Op Lease Issuance</t>
  </si>
  <si>
    <t>Current Op Lease Repayment</t>
  </si>
  <si>
    <t>Non-Current Op Lease Issuance</t>
  </si>
  <si>
    <t>Non-Current Op Lease Repayment</t>
  </si>
  <si>
    <t>RCF- Issuance / (Repayment)</t>
  </si>
  <si>
    <t>Cash Flow from Financing (CFF)</t>
  </si>
  <si>
    <t>Changes in Cash and Cash Equivalents</t>
  </si>
  <si>
    <t>Opening Cash Balance</t>
  </si>
  <si>
    <t>Changes in Cash anc Cash Equivalents</t>
  </si>
  <si>
    <t>Ending Cash Balance</t>
  </si>
  <si>
    <t>Check Balance</t>
  </si>
  <si>
    <t>Disclaimer</t>
  </si>
  <si>
    <t>Although the information contained in this publication has been obtained from sources believed to be reliable, the author disclaim all warranties as to the accuracy, completeness or adequacy of such information. CFI Education shall have no liability for errors, omissions or inadequacies in the information contained herein or for interpretations thereof.</t>
  </si>
  <si>
    <t>hard punced</t>
  </si>
  <si>
    <t>Formula</t>
  </si>
  <si>
    <t>Tax Rate</t>
  </si>
  <si>
    <t>Marketable Securities / Short term Inv</t>
  </si>
  <si>
    <t>imp</t>
  </si>
  <si>
    <t>flat</t>
  </si>
  <si>
    <t>Circular Ref</t>
  </si>
  <si>
    <t>A&gt;B</t>
  </si>
  <si>
    <t>B&gt;C</t>
  </si>
  <si>
    <t>C&gt;A</t>
  </si>
  <si>
    <t>Suplpement Info</t>
  </si>
  <si>
    <t>Revolving Credit Facility (RCF)</t>
  </si>
  <si>
    <t>Dep and Ammort</t>
  </si>
  <si>
    <t>X</t>
  </si>
  <si>
    <t>CapEx</t>
  </si>
  <si>
    <t>PPE opening</t>
  </si>
  <si>
    <t>cap ex</t>
  </si>
  <si>
    <t>depn</t>
  </si>
  <si>
    <t>ppe closing</t>
  </si>
  <si>
    <t>+</t>
  </si>
  <si>
    <t>-</t>
  </si>
  <si>
    <t>d&amp;a</t>
  </si>
  <si>
    <t>dep</t>
  </si>
  <si>
    <t>% of ppe</t>
  </si>
  <si>
    <t>Ammortization</t>
  </si>
  <si>
    <t>Intangible assets opening</t>
  </si>
  <si>
    <t>Purchase of Intangible</t>
  </si>
  <si>
    <t>Intangible assets closing</t>
  </si>
  <si>
    <t>Amortization</t>
  </si>
  <si>
    <t>%of Intangibles</t>
  </si>
  <si>
    <t>Working Capital</t>
  </si>
  <si>
    <t>Cogs</t>
  </si>
  <si>
    <t>Non-Cash current assets</t>
  </si>
  <si>
    <t>Non-Debt current Liabilities</t>
  </si>
  <si>
    <t>Total Non-Debt Current Liabilities</t>
  </si>
  <si>
    <t>Total Non-Cash Current Assets</t>
  </si>
  <si>
    <t>Receivable Turnover</t>
  </si>
  <si>
    <t>Inventory Turnover</t>
  </si>
  <si>
    <t>Payble Turnover</t>
  </si>
  <si>
    <t>DSO</t>
  </si>
  <si>
    <t>DIH</t>
  </si>
  <si>
    <t>DPO</t>
  </si>
  <si>
    <t>No of Days</t>
  </si>
  <si>
    <t>n.a.</t>
  </si>
  <si>
    <t>Change in Working Capital</t>
  </si>
  <si>
    <t>Debt</t>
  </si>
  <si>
    <t>DSO = 365/ RT</t>
  </si>
  <si>
    <t>RT = 365/DSO</t>
  </si>
  <si>
    <t>RT = Revenue/Avg AR</t>
  </si>
  <si>
    <t>REV/AVG AR = 365/DSO</t>
  </si>
  <si>
    <t>AVG AR = REV*DSO/365</t>
  </si>
  <si>
    <t>AVG AR = (AR cur year + AR past year)/2</t>
  </si>
  <si>
    <t>AR cur year = (2* Rev * DSO /365) - Rev Past Year</t>
  </si>
  <si>
    <t>(AR cur year + AR past year)/2 = REV*DSO/365</t>
  </si>
  <si>
    <t>Issuance</t>
  </si>
  <si>
    <t>Repurchaseor Buyback</t>
  </si>
  <si>
    <t>Equity Capital - Opening</t>
  </si>
  <si>
    <t>Equity Capital - Closing</t>
  </si>
  <si>
    <t>Retained Earnings - Opening</t>
  </si>
  <si>
    <t>Dividend</t>
  </si>
  <si>
    <t>Retained Earnings - Closing</t>
  </si>
  <si>
    <t>Dividend Per Share</t>
  </si>
  <si>
    <t>Share outstanding</t>
  </si>
  <si>
    <t>Maybe company would raise capital from equity but fn we assume zero.</t>
  </si>
  <si>
    <t>LT Debt opening</t>
  </si>
  <si>
    <t>LT Debt Closing</t>
  </si>
  <si>
    <t>Isssuance</t>
  </si>
  <si>
    <t>Repayment</t>
  </si>
  <si>
    <t>ST Debt opening</t>
  </si>
  <si>
    <t>ST Debt Closing</t>
  </si>
  <si>
    <t>Current Leases Opening</t>
  </si>
  <si>
    <t>Current Leases Closing</t>
  </si>
  <si>
    <t>Non-Current Leases Opening</t>
  </si>
  <si>
    <t>Non-Current Leases Closing</t>
  </si>
  <si>
    <t>Maturity</t>
  </si>
  <si>
    <t>Stated Interest Rate</t>
  </si>
  <si>
    <t>December 31, 2025</t>
  </si>
  <si>
    <t>August 2022 Notes</t>
  </si>
  <si>
    <t>2027 - 2062</t>
  </si>
  <si>
    <t>3.50% - 4.65%</t>
  </si>
  <si>
    <t>May 2023 Notes</t>
  </si>
  <si>
    <t>2028 - 2063</t>
  </si>
  <si>
    <t>4.60% - 5.75%</t>
  </si>
  <si>
    <t>August 2024 Notes</t>
  </si>
  <si>
    <t>2029 - 2064</t>
  </si>
  <si>
    <t>4.30% - 5.55%</t>
  </si>
  <si>
    <t>November 2025 Notes</t>
  </si>
  <si>
    <t>2030 - 2065</t>
  </si>
  <si>
    <t>4.20% - 5.75%</t>
  </si>
  <si>
    <t>Avg of Stated Int Rate</t>
  </si>
  <si>
    <t>Avg Interest Rate</t>
  </si>
  <si>
    <t>Note Header</t>
  </si>
  <si>
    <t>Long Term Debt Repayment Int Rate</t>
  </si>
  <si>
    <t>Int Amount</t>
  </si>
  <si>
    <t>Interest Expense</t>
  </si>
  <si>
    <t>Interest Income</t>
  </si>
  <si>
    <t>Expected Interest Rate which company will charge</t>
  </si>
  <si>
    <t>Net Interest (Exp)/Income</t>
  </si>
  <si>
    <t>RCF</t>
  </si>
  <si>
    <t>RCF Opening</t>
  </si>
  <si>
    <t>`+/- Issuance/Repayment</t>
  </si>
  <si>
    <t>RCF Closing</t>
  </si>
  <si>
    <t>Beginning cash balance</t>
  </si>
  <si>
    <t>Assumption</t>
  </si>
  <si>
    <t>Op Exp</t>
  </si>
  <si>
    <t>Depn % of PPE</t>
  </si>
  <si>
    <t>WC</t>
  </si>
  <si>
    <t>LT Debt</t>
  </si>
  <si>
    <t>ST Debt</t>
  </si>
  <si>
    <t>Non-Current Leases</t>
  </si>
  <si>
    <t>Current Leases</t>
  </si>
  <si>
    <t>Income Rate</t>
  </si>
  <si>
    <t>Exp Int Rate</t>
  </si>
  <si>
    <t>Accrued Expenses</t>
  </si>
  <si>
    <t>No. of users (DAP)</t>
  </si>
  <si>
    <t>Billion</t>
  </si>
  <si>
    <t>Avg Revenue Per Person (ARPU)</t>
  </si>
  <si>
    <t>World Population</t>
  </si>
  <si>
    <t xml:space="preserve"> </t>
  </si>
  <si>
    <t>US Billion $</t>
  </si>
  <si>
    <t>DAP</t>
  </si>
  <si>
    <t>ARPP</t>
  </si>
  <si>
    <t>Q1 2023</t>
  </si>
  <si>
    <t>Q2 2023</t>
  </si>
  <si>
    <t>Q3 2023</t>
  </si>
  <si>
    <t>Q4 2023</t>
  </si>
  <si>
    <t>Q1 2024</t>
  </si>
  <si>
    <t>Q2 2024</t>
  </si>
  <si>
    <t>Q3 2024</t>
  </si>
  <si>
    <t>Q4 2024</t>
  </si>
  <si>
    <t>Q1 2025</t>
  </si>
  <si>
    <t>Q2 2025</t>
  </si>
  <si>
    <t>Q3 2025</t>
  </si>
  <si>
    <t>Q4 2025</t>
  </si>
  <si>
    <t>million</t>
  </si>
  <si>
    <t>absolute</t>
  </si>
  <si>
    <t>% Growth</t>
  </si>
  <si>
    <t>Base Case</t>
  </si>
  <si>
    <t>Best Case</t>
  </si>
  <si>
    <t>Worst Case</t>
  </si>
  <si>
    <t>Scenario</t>
  </si>
  <si>
    <t>Dropdown</t>
  </si>
  <si>
    <t>Daily Active People</t>
  </si>
  <si>
    <t>Average Revenue Per Person</t>
  </si>
  <si>
    <t>Calc Later</t>
  </si>
  <si>
    <t>Same</t>
  </si>
  <si>
    <t>DCF</t>
  </si>
  <si>
    <t>Cash Flows</t>
  </si>
  <si>
    <t>Terminal Growth Rate</t>
  </si>
  <si>
    <t>Interest Rate</t>
  </si>
  <si>
    <t>Free Cash Flows</t>
  </si>
  <si>
    <t>WACC - Weighted Avg Cost of Capital</t>
  </si>
  <si>
    <t>EBIT</t>
  </si>
  <si>
    <t>Tax</t>
  </si>
  <si>
    <t>Capex</t>
  </si>
  <si>
    <t>Change in WC</t>
  </si>
  <si>
    <t>FCFF</t>
  </si>
  <si>
    <t>EBIT(1-Tax)</t>
  </si>
  <si>
    <t>Growth %</t>
  </si>
  <si>
    <t>WACC Calc</t>
  </si>
  <si>
    <t>Rd</t>
  </si>
  <si>
    <t>CAPM</t>
  </si>
  <si>
    <t>Mkt Sentivity</t>
  </si>
  <si>
    <t>Mkt Risk Premium</t>
  </si>
  <si>
    <t>Risk Free Rt</t>
  </si>
  <si>
    <t>WACC</t>
  </si>
  <si>
    <t>Weight Equity</t>
  </si>
  <si>
    <t>Weight Debt</t>
  </si>
  <si>
    <t>Re (CAPM)</t>
  </si>
  <si>
    <t>Terminal Value</t>
  </si>
  <si>
    <t>Terminal Value (2030)</t>
  </si>
  <si>
    <t xml:space="preserve"> Cash Flow*(1+TGR)/(WACC-TGR)</t>
  </si>
  <si>
    <t>Terminal Growth Rate (TGR)</t>
  </si>
  <si>
    <t>PV of Cash Flows</t>
  </si>
  <si>
    <t>PV of Terminal Value</t>
  </si>
  <si>
    <t>FCFF/(1+WACC)^(FY-CY)</t>
  </si>
  <si>
    <t>Enterprise Value</t>
  </si>
  <si>
    <t>PGM</t>
  </si>
  <si>
    <t xml:space="preserve">EMM </t>
  </si>
  <si>
    <t>EV/EBITDA Multiple</t>
  </si>
  <si>
    <t>EMM</t>
  </si>
  <si>
    <t>Search EV/EBITDA Multiple of the industry * EBITDA</t>
  </si>
  <si>
    <t>PV</t>
  </si>
  <si>
    <t>Preferred</t>
  </si>
  <si>
    <t>Minority</t>
  </si>
  <si>
    <t>Leases</t>
  </si>
  <si>
    <t>Cash</t>
  </si>
  <si>
    <t>Equity Value</t>
  </si>
  <si>
    <t>Share Outstanding</t>
  </si>
  <si>
    <t>Intrinsic Price Per Share</t>
  </si>
  <si>
    <t>ycharts</t>
  </si>
  <si>
    <t>kroll</t>
  </si>
  <si>
    <t>yahoofinance</t>
  </si>
  <si>
    <t>What If Analysis</t>
  </si>
  <si>
    <t>Growth Rate</t>
  </si>
  <si>
    <t>Exit Multiple</t>
  </si>
  <si>
    <t>PGP</t>
  </si>
  <si>
    <t>MIN</t>
  </si>
  <si>
    <t>RANGE</t>
  </si>
  <si>
    <t>MAX</t>
  </si>
  <si>
    <t>52 WEEK H/L</t>
  </si>
  <si>
    <t>Valuation Range</t>
  </si>
  <si>
    <t>615 - 690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</si>
</sst>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quot;FY&quot;\ 0&quot;A&quot;"/>
    <numFmt numFmtId="166" formatCode="#,#00;\(#,#00\)"/>
    <numFmt numFmtId="167" formatCode="0;\(0\)"/>
    <numFmt numFmtId="168" formatCode="_(* #,##0_);_(* \(#,##0\);_(* &quot;-&quot;??_);_(@_)"/>
    <numFmt numFmtId="169" formatCode="&quot;FY &quot;0&quot;A&quot;"/>
    <numFmt numFmtId="170" formatCode="&quot;FY &quot;0&quot;E&quot;"/>
    <numFmt numFmtId="171" formatCode="_ * #,##0_ ;_ * \-#,##0_ ;_ * &quot;-&quot;??_ ;_ @_ "/>
    <numFmt numFmtId="172" formatCode="0.0"/>
    <numFmt numFmtId="173" formatCode="#,#00.0;\(#,#00.0\)"/>
    <numFmt numFmtId="174" formatCode="0.0%"/>
  </numFmts>
  <fonts count="26">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1"/>
      <color theme="1"/>
      <name val="Calibri"/>
      <family val="2"/>
      <scheme val="minor"/>
    </font>
    <font>
      <sz val="11"/>
      <color rgb="FF0000FF"/>
      <name val="Calibri"/>
      <family val="2"/>
      <scheme val="minor"/>
    </font>
    <font>
      <sz val="11"/>
      <name val="Calibri"/>
      <family val="2"/>
      <scheme val="minor"/>
    </font>
    <font>
      <i/>
      <sz val="11"/>
      <name val="Calibri"/>
      <family val="2"/>
      <scheme val="minor"/>
    </font>
    <font>
      <sz val="10"/>
      <name val="Arial"/>
      <family val="2"/>
    </font>
    <font>
      <sz val="16"/>
      <name val="Trebuchet MS"/>
      <family val="2"/>
    </font>
    <font>
      <b/>
      <sz val="16"/>
      <name val="Trebuchet MS"/>
      <family val="2"/>
    </font>
    <font>
      <sz val="16"/>
      <color indexed="56"/>
      <name val="Trebuchet MS"/>
      <family val="2"/>
    </font>
    <font>
      <b/>
      <sz val="18"/>
      <name val="Trebuchet MS"/>
      <family val="2"/>
    </font>
    <font>
      <sz val="9.5"/>
      <name val="Trebuchet MS"/>
      <family val="2"/>
    </font>
    <font>
      <sz val="16"/>
      <color indexed="50"/>
      <name val="Trebuchet MS"/>
      <family val="2"/>
    </font>
    <font>
      <sz val="11"/>
      <name val="Arial"/>
      <family val="2"/>
    </font>
    <font>
      <sz val="10"/>
      <color indexed="16"/>
      <name val="Credit Suisse Type Roman"/>
      <family val="2"/>
    </font>
    <font>
      <b/>
      <sz val="11"/>
      <name val="Calibri"/>
      <family val="2"/>
      <scheme val="minor"/>
    </font>
    <font>
      <sz val="9"/>
      <color indexed="81"/>
      <name val="Tahoma"/>
      <family val="2"/>
    </font>
    <font>
      <b/>
      <sz val="9"/>
      <color indexed="81"/>
      <name val="Tahoma"/>
      <family val="2"/>
    </font>
    <font>
      <sz val="11"/>
      <color rgb="FFFF0000"/>
      <name val="Calibri"/>
      <family val="2"/>
      <scheme val="minor"/>
    </font>
    <font>
      <b/>
      <sz val="11"/>
      <color rgb="FF0000FF"/>
      <name val="Calibri"/>
      <family val="2"/>
      <scheme val="minor"/>
    </font>
    <font>
      <b/>
      <i/>
      <sz val="11"/>
      <name val="Calibri"/>
      <family val="2"/>
      <scheme val="minor"/>
    </font>
    <font>
      <b/>
      <sz val="11"/>
      <color rgb="FF00B050"/>
      <name val="Calibri"/>
      <family val="2"/>
      <scheme val="minor"/>
    </font>
    <font>
      <sz val="11"/>
      <color rgb="FF00B050"/>
      <name val="Calibri"/>
      <family val="2"/>
      <scheme val="minor"/>
    </font>
    <font>
      <b/>
      <sz val="11"/>
      <color theme="2"/>
      <name val="Calibri"/>
      <family val="2"/>
      <scheme val="minor"/>
    </font>
  </fonts>
  <fills count="14">
    <fill>
      <patternFill patternType="none"/>
    </fill>
    <fill>
      <patternFill patternType="gray125"/>
    </fill>
    <fill>
      <patternFill patternType="solid">
        <fgColor theme="6"/>
        <bgColor indexed="64"/>
      </patternFill>
    </fill>
    <fill>
      <patternFill patternType="solid">
        <fgColor theme="7" tint="0.79998168889431442"/>
        <bgColor indexed="64"/>
      </patternFill>
    </fill>
    <fill>
      <patternFill patternType="solid">
        <fgColor rgb="FFFFC000"/>
        <bgColor indexed="64"/>
      </patternFill>
    </fill>
    <fill>
      <patternFill patternType="solid">
        <fgColor rgb="FF235A8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00FF"/>
        <bgColor indexed="64"/>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tint="0.499984740745262"/>
        <bgColor indexed="64"/>
      </patternFill>
    </fill>
  </fills>
  <borders count="17">
    <border>
      <left/>
      <right/>
      <top/>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bottom style="double">
        <color indexed="64"/>
      </bottom>
      <diagonal/>
    </border>
  </borders>
  <cellStyleXfs count="7">
    <xf numFmtId="0" fontId="0" fillId="0" borderId="0"/>
    <xf numFmtId="9" fontId="4" fillId="0" borderId="0" applyFont="0" applyFill="0" applyBorder="0" applyAlignment="0" applyProtection="0"/>
    <xf numFmtId="0" fontId="8" fillId="0" borderId="0"/>
    <xf numFmtId="0" fontId="16" fillId="0" borderId="0"/>
    <xf numFmtId="164" fontId="16" fillId="0" borderId="0" applyFont="0" applyFill="0" applyBorder="0" applyAlignment="0" applyProtection="0"/>
    <xf numFmtId="9" fontId="16" fillId="0" borderId="0" applyFont="0" applyFill="0" applyBorder="0" applyAlignment="0" applyProtection="0"/>
    <xf numFmtId="43" fontId="4" fillId="0" borderId="0" applyFont="0" applyFill="0" applyBorder="0" applyAlignment="0" applyProtection="0"/>
  </cellStyleXfs>
  <cellXfs count="156">
    <xf numFmtId="0" fontId="0" fillId="0" borderId="0" xfId="0"/>
    <xf numFmtId="0" fontId="1" fillId="0" borderId="0" xfId="0" applyFont="1"/>
    <xf numFmtId="0" fontId="2" fillId="0" borderId="0" xfId="0" applyFont="1"/>
    <xf numFmtId="0" fontId="0" fillId="0" borderId="0" xfId="0" applyAlignment="1">
      <alignment horizontal="left" indent="1"/>
    </xf>
    <xf numFmtId="0" fontId="1" fillId="0" borderId="0" xfId="0" applyFont="1" applyAlignment="1">
      <alignment horizontal="left" indent="1"/>
    </xf>
    <xf numFmtId="0" fontId="1" fillId="2" borderId="0" xfId="0" applyFont="1" applyFill="1"/>
    <xf numFmtId="0" fontId="2" fillId="3" borderId="0" xfId="0" applyFont="1" applyFill="1"/>
    <xf numFmtId="0" fontId="0" fillId="0" borderId="0" xfId="0" quotePrefix="1"/>
    <xf numFmtId="165" fontId="1" fillId="0" borderId="0" xfId="0" applyNumberFormat="1" applyFont="1" applyAlignment="1">
      <alignment horizontal="center"/>
    </xf>
    <xf numFmtId="3" fontId="0" fillId="0" borderId="0" xfId="0" applyNumberFormat="1"/>
    <xf numFmtId="3" fontId="5" fillId="0" borderId="0" xfId="0" applyNumberFormat="1" applyFont="1"/>
    <xf numFmtId="3" fontId="1" fillId="0" borderId="0" xfId="0" applyNumberFormat="1" applyFont="1"/>
    <xf numFmtId="0" fontId="5" fillId="0" borderId="0" xfId="0" applyFont="1"/>
    <xf numFmtId="0" fontId="0" fillId="0" borderId="0" xfId="0" applyAlignment="1">
      <alignment horizontal="right"/>
    </xf>
    <xf numFmtId="0" fontId="0" fillId="0" borderId="0" xfId="0" applyAlignment="1">
      <alignment horizontal="left" indent="2"/>
    </xf>
    <xf numFmtId="3" fontId="6" fillId="0" borderId="0" xfId="0" applyNumberFormat="1" applyFont="1"/>
    <xf numFmtId="9" fontId="7" fillId="0" borderId="0" xfId="1" applyFont="1"/>
    <xf numFmtId="9" fontId="0" fillId="0" borderId="0" xfId="0" applyNumberFormat="1"/>
    <xf numFmtId="1" fontId="0" fillId="0" borderId="0" xfId="0" applyNumberFormat="1"/>
    <xf numFmtId="0" fontId="9" fillId="0" borderId="0" xfId="2" applyFont="1"/>
    <xf numFmtId="0" fontId="10" fillId="0" borderId="0" xfId="2" applyFont="1"/>
    <xf numFmtId="0" fontId="9" fillId="0" borderId="0" xfId="2" applyFont="1" applyAlignment="1">
      <alignment vertical="center"/>
    </xf>
    <xf numFmtId="0" fontId="9" fillId="0" borderId="0" xfId="2" applyFont="1" applyAlignment="1">
      <alignment horizontal="left" vertical="center"/>
    </xf>
    <xf numFmtId="0" fontId="11" fillId="0" borderId="0" xfId="2" applyFont="1"/>
    <xf numFmtId="0" fontId="9" fillId="5" borderId="0" xfId="2" applyFont="1" applyFill="1"/>
    <xf numFmtId="0" fontId="9" fillId="5" borderId="0" xfId="2" applyFont="1" applyFill="1" applyAlignment="1">
      <alignment wrapText="1"/>
    </xf>
    <xf numFmtId="0" fontId="12" fillId="0" borderId="0" xfId="2" applyFont="1" applyAlignment="1">
      <alignment vertical="top" wrapText="1"/>
    </xf>
    <xf numFmtId="0" fontId="9" fillId="0" borderId="0" xfId="2" applyFont="1" applyAlignment="1">
      <alignment vertical="top"/>
    </xf>
    <xf numFmtId="0" fontId="10" fillId="0" borderId="0" xfId="2" applyFont="1" applyAlignment="1">
      <alignment vertical="top" wrapText="1"/>
    </xf>
    <xf numFmtId="0" fontId="14" fillId="0" borderId="0" xfId="2" applyFont="1"/>
    <xf numFmtId="0" fontId="13" fillId="0" borderId="0" xfId="2" applyFont="1"/>
    <xf numFmtId="0" fontId="13" fillId="0" borderId="0" xfId="2" applyFont="1" applyAlignment="1">
      <alignment vertical="top"/>
    </xf>
    <xf numFmtId="0" fontId="13" fillId="0" borderId="0" xfId="2" applyFont="1" applyAlignment="1">
      <alignment vertical="center" wrapText="1"/>
    </xf>
    <xf numFmtId="0" fontId="2" fillId="0" borderId="0" xfId="0" applyFont="1" applyAlignment="1">
      <alignment horizontal="left" indent="1"/>
    </xf>
    <xf numFmtId="0" fontId="1" fillId="0" borderId="0" xfId="0" applyFont="1" applyAlignment="1">
      <alignment horizontal="left"/>
    </xf>
    <xf numFmtId="165" fontId="17" fillId="0" borderId="0" xfId="0" applyNumberFormat="1" applyFont="1" applyAlignment="1">
      <alignment horizontal="center"/>
    </xf>
    <xf numFmtId="3" fontId="17" fillId="0" borderId="0" xfId="0" applyNumberFormat="1" applyFont="1"/>
    <xf numFmtId="0" fontId="2" fillId="7" borderId="0" xfId="0" applyFont="1" applyFill="1" applyAlignment="1">
      <alignment horizontal="left" indent="1"/>
    </xf>
    <xf numFmtId="0" fontId="3" fillId="0" borderId="0" xfId="0" applyFont="1"/>
    <xf numFmtId="0" fontId="0" fillId="8" borderId="0" xfId="0" applyFill="1"/>
    <xf numFmtId="0" fontId="0" fillId="9" borderId="0" xfId="0" applyFill="1"/>
    <xf numFmtId="0" fontId="1" fillId="0" borderId="0" xfId="0" applyFont="1" applyAlignment="1">
      <alignment horizontal="right"/>
    </xf>
    <xf numFmtId="0" fontId="0" fillId="0" borderId="0" xfId="0" quotePrefix="1" applyAlignment="1">
      <alignment horizontal="right"/>
    </xf>
    <xf numFmtId="0" fontId="6" fillId="0" borderId="0" xfId="0" applyFont="1"/>
    <xf numFmtId="1" fontId="5" fillId="0" borderId="0" xfId="0" applyNumberFormat="1" applyFont="1"/>
    <xf numFmtId="1" fontId="6" fillId="0" borderId="0" xfId="0" applyNumberFormat="1" applyFont="1"/>
    <xf numFmtId="168" fontId="17" fillId="0" borderId="0" xfId="0" applyNumberFormat="1" applyFont="1"/>
    <xf numFmtId="9" fontId="1" fillId="0" borderId="0" xfId="0" applyNumberFormat="1" applyFont="1" applyAlignment="1">
      <alignment horizontal="right"/>
    </xf>
    <xf numFmtId="9" fontId="1" fillId="0" borderId="0" xfId="0" quotePrefix="1" applyNumberFormat="1" applyFont="1" applyAlignment="1">
      <alignment horizontal="right"/>
    </xf>
    <xf numFmtId="0" fontId="3" fillId="0" borderId="0" xfId="0" quotePrefix="1" applyFont="1"/>
    <xf numFmtId="0" fontId="20" fillId="0" borderId="0" xfId="0" applyFont="1"/>
    <xf numFmtId="166" fontId="6" fillId="0" borderId="0" xfId="0" applyNumberFormat="1" applyFont="1"/>
    <xf numFmtId="0" fontId="1" fillId="10" borderId="0" xfId="0" applyFont="1" applyFill="1" applyAlignment="1">
      <alignment horizontal="left" indent="1"/>
    </xf>
    <xf numFmtId="9" fontId="4" fillId="0" borderId="0" xfId="1" applyFont="1"/>
    <xf numFmtId="0" fontId="1" fillId="10" borderId="0" xfId="0" applyFont="1" applyFill="1"/>
    <xf numFmtId="170" fontId="1" fillId="0" borderId="0" xfId="0" applyNumberFormat="1" applyFont="1"/>
    <xf numFmtId="9" fontId="22" fillId="0" borderId="0" xfId="1" applyFont="1"/>
    <xf numFmtId="9" fontId="17" fillId="0" borderId="0" xfId="1" applyFont="1"/>
    <xf numFmtId="167" fontId="0" fillId="6" borderId="0" xfId="0" applyNumberFormat="1" applyFill="1"/>
    <xf numFmtId="0" fontId="3" fillId="4" borderId="0" xfId="0" applyFont="1" applyFill="1"/>
    <xf numFmtId="0" fontId="0" fillId="4" borderId="0" xfId="0" applyFill="1" applyAlignment="1">
      <alignment horizontal="left" indent="1"/>
    </xf>
    <xf numFmtId="169" fontId="21" fillId="3" borderId="0" xfId="0" applyNumberFormat="1" applyFont="1" applyFill="1"/>
    <xf numFmtId="169" fontId="1" fillId="3" borderId="0" xfId="0" applyNumberFormat="1" applyFont="1" applyFill="1"/>
    <xf numFmtId="0" fontId="0" fillId="3" borderId="0" xfId="0" applyFill="1"/>
    <xf numFmtId="0" fontId="1" fillId="3" borderId="0" xfId="0" applyFont="1" applyFill="1"/>
    <xf numFmtId="0" fontId="1" fillId="3" borderId="0" xfId="0" applyFont="1" applyFill="1" applyAlignment="1">
      <alignment horizontal="left" indent="1"/>
    </xf>
    <xf numFmtId="0" fontId="0" fillId="3" borderId="0" xfId="0" applyFill="1" applyAlignment="1">
      <alignment horizontal="left" indent="1"/>
    </xf>
    <xf numFmtId="171" fontId="5" fillId="0" borderId="0" xfId="6" applyNumberFormat="1" applyFont="1"/>
    <xf numFmtId="171" fontId="1" fillId="0" borderId="0" xfId="6" applyNumberFormat="1" applyFont="1"/>
    <xf numFmtId="166" fontId="17" fillId="0" borderId="0" xfId="0" applyNumberFormat="1" applyFont="1"/>
    <xf numFmtId="0" fontId="0" fillId="4" borderId="0" xfId="0" applyFill="1"/>
    <xf numFmtId="166" fontId="5" fillId="0" borderId="0" xfId="6" applyNumberFormat="1" applyFont="1"/>
    <xf numFmtId="166" fontId="0" fillId="0" borderId="0" xfId="0" applyNumberFormat="1"/>
    <xf numFmtId="166" fontId="0" fillId="0" borderId="0" xfId="1" applyNumberFormat="1" applyFont="1"/>
    <xf numFmtId="166" fontId="5" fillId="0" borderId="0" xfId="0" applyNumberFormat="1" applyFont="1"/>
    <xf numFmtId="166" fontId="5" fillId="6" borderId="0" xfId="0" applyNumberFormat="1" applyFont="1" applyFill="1"/>
    <xf numFmtId="166" fontId="1" fillId="0" borderId="0" xfId="0" applyNumberFormat="1" applyFont="1"/>
    <xf numFmtId="166" fontId="5" fillId="4" borderId="0" xfId="0" applyNumberFormat="1" applyFont="1" applyFill="1"/>
    <xf numFmtId="166" fontId="1" fillId="0" borderId="1" xfId="0" applyNumberFormat="1" applyFont="1" applyBorder="1"/>
    <xf numFmtId="166" fontId="1" fillId="0" borderId="0" xfId="0" applyNumberFormat="1" applyFont="1" applyAlignment="1">
      <alignment horizontal="center"/>
    </xf>
    <xf numFmtId="166" fontId="0" fillId="3" borderId="0" xfId="0" applyNumberFormat="1" applyFill="1"/>
    <xf numFmtId="166" fontId="2" fillId="3" borderId="0" xfId="0" applyNumberFormat="1" applyFont="1" applyFill="1"/>
    <xf numFmtId="166" fontId="6" fillId="10" borderId="0" xfId="0" applyNumberFormat="1" applyFont="1" applyFill="1"/>
    <xf numFmtId="166" fontId="2" fillId="0" borderId="0" xfId="0" applyNumberFormat="1" applyFont="1"/>
    <xf numFmtId="166" fontId="4" fillId="0" borderId="0" xfId="6" applyNumberFormat="1" applyFont="1"/>
    <xf numFmtId="10" fontId="1" fillId="0" borderId="0" xfId="1" applyNumberFormat="1" applyFont="1"/>
    <xf numFmtId="166" fontId="0" fillId="4" borderId="0" xfId="0" applyNumberFormat="1" applyFill="1"/>
    <xf numFmtId="10" fontId="0" fillId="4" borderId="0" xfId="0" applyNumberFormat="1" applyFill="1"/>
    <xf numFmtId="166" fontId="1" fillId="0" borderId="0" xfId="6" applyNumberFormat="1" applyFont="1"/>
    <xf numFmtId="172" fontId="0" fillId="0" borderId="0" xfId="0" applyNumberFormat="1"/>
    <xf numFmtId="1" fontId="20" fillId="0" borderId="0" xfId="0" applyNumberFormat="1" applyFont="1"/>
    <xf numFmtId="0" fontId="0" fillId="11" borderId="0" xfId="0" applyFill="1"/>
    <xf numFmtId="0" fontId="23" fillId="0" borderId="2" xfId="0" applyFont="1" applyBorder="1"/>
    <xf numFmtId="0" fontId="24" fillId="0" borderId="3" xfId="0" applyFont="1" applyBorder="1"/>
    <xf numFmtId="0" fontId="24" fillId="0" borderId="4" xfId="0" applyFont="1" applyBorder="1"/>
    <xf numFmtId="0" fontId="23" fillId="0" borderId="5" xfId="0" applyFont="1" applyBorder="1"/>
    <xf numFmtId="0" fontId="24" fillId="0" borderId="0" xfId="0" applyFont="1"/>
    <xf numFmtId="0" fontId="24" fillId="0" borderId="6" xfId="0" applyFont="1" applyBorder="1"/>
    <xf numFmtId="0" fontId="23" fillId="11" borderId="7" xfId="0" applyFont="1" applyFill="1" applyBorder="1"/>
    <xf numFmtId="0" fontId="24" fillId="11" borderId="8" xfId="0" applyFont="1" applyFill="1" applyBorder="1"/>
    <xf numFmtId="0" fontId="24" fillId="11" borderId="9" xfId="0" applyFont="1" applyFill="1" applyBorder="1"/>
    <xf numFmtId="0" fontId="1" fillId="11" borderId="0" xfId="0" applyFont="1" applyFill="1"/>
    <xf numFmtId="166" fontId="6" fillId="11" borderId="0" xfId="0" applyNumberFormat="1" applyFont="1" applyFill="1"/>
    <xf numFmtId="166" fontId="0" fillId="11" borderId="0" xfId="0" applyNumberFormat="1" applyFill="1"/>
    <xf numFmtId="173" fontId="5" fillId="0" borderId="0" xfId="6" applyNumberFormat="1" applyFont="1"/>
    <xf numFmtId="10" fontId="0" fillId="0" borderId="0" xfId="0" applyNumberFormat="1"/>
    <xf numFmtId="0" fontId="1" fillId="0" borderId="1" xfId="0" applyFont="1" applyBorder="1"/>
    <xf numFmtId="0" fontId="0" fillId="0" borderId="1" xfId="0" applyBorder="1"/>
    <xf numFmtId="10" fontId="1" fillId="11" borderId="1" xfId="1" applyNumberFormat="1" applyFont="1" applyFill="1" applyBorder="1"/>
    <xf numFmtId="172" fontId="1" fillId="0" borderId="1" xfId="0" applyNumberFormat="1" applyFont="1" applyBorder="1"/>
    <xf numFmtId="0" fontId="1" fillId="0" borderId="10" xfId="0" applyFont="1" applyBorder="1"/>
    <xf numFmtId="166" fontId="21" fillId="0" borderId="0" xfId="6" applyNumberFormat="1" applyFont="1"/>
    <xf numFmtId="174" fontId="1" fillId="11" borderId="0" xfId="1" applyNumberFormat="1" applyFont="1" applyFill="1"/>
    <xf numFmtId="9" fontId="5" fillId="0" borderId="0" xfId="0" applyNumberFormat="1" applyFont="1"/>
    <xf numFmtId="166" fontId="6" fillId="0" borderId="0" xfId="6" applyNumberFormat="1" applyFont="1"/>
    <xf numFmtId="166" fontId="17" fillId="0" borderId="0" xfId="6" applyNumberFormat="1" applyFont="1"/>
    <xf numFmtId="172" fontId="6" fillId="0" borderId="0" xfId="0" applyNumberFormat="1" applyFont="1"/>
    <xf numFmtId="172" fontId="6" fillId="0" borderId="0" xfId="0" applyNumberFormat="1" applyFont="1" applyAlignment="1">
      <alignment horizontal="right"/>
    </xf>
    <xf numFmtId="0" fontId="6" fillId="0" borderId="0" xfId="0" applyFont="1" applyAlignment="1">
      <alignment horizontal="right"/>
    </xf>
    <xf numFmtId="0" fontId="5" fillId="0" borderId="0" xfId="0" applyFont="1" applyAlignment="1">
      <alignment horizontal="right"/>
    </xf>
    <xf numFmtId="174" fontId="1" fillId="0" borderId="0" xfId="1" applyNumberFormat="1" applyFont="1" applyFill="1"/>
    <xf numFmtId="10" fontId="1" fillId="0" borderId="0" xfId="1" applyNumberFormat="1" applyFont="1" applyFill="1" applyBorder="1"/>
    <xf numFmtId="9" fontId="1" fillId="0" borderId="0" xfId="1" applyFont="1"/>
    <xf numFmtId="169" fontId="17" fillId="12" borderId="0" xfId="0" applyNumberFormat="1" applyFont="1" applyFill="1"/>
    <xf numFmtId="9" fontId="1" fillId="0" borderId="0" xfId="0" applyNumberFormat="1" applyFont="1"/>
    <xf numFmtId="0" fontId="25" fillId="13" borderId="0" xfId="0" applyFont="1" applyFill="1"/>
    <xf numFmtId="0" fontId="1" fillId="11" borderId="12" xfId="0" applyFont="1" applyFill="1" applyBorder="1" applyAlignment="1">
      <alignment horizontal="center"/>
    </xf>
    <xf numFmtId="0" fontId="1" fillId="11" borderId="13" xfId="0" applyFont="1" applyFill="1" applyBorder="1"/>
    <xf numFmtId="0" fontId="1" fillId="11" borderId="11" xfId="0" applyFont="1" applyFill="1" applyBorder="1" applyAlignment="1">
      <alignment horizontal="center"/>
    </xf>
    <xf numFmtId="9" fontId="6" fillId="0" borderId="0" xfId="1" applyFont="1"/>
    <xf numFmtId="166" fontId="17" fillId="0" borderId="14" xfId="0" applyNumberFormat="1" applyFont="1" applyBorder="1"/>
    <xf numFmtId="9" fontId="0" fillId="0" borderId="0" xfId="1" applyFont="1"/>
    <xf numFmtId="10" fontId="1" fillId="11" borderId="0" xfId="0" applyNumberFormat="1" applyFont="1" applyFill="1"/>
    <xf numFmtId="166" fontId="1" fillId="11" borderId="0" xfId="0" applyNumberFormat="1" applyFont="1" applyFill="1"/>
    <xf numFmtId="0" fontId="5" fillId="0" borderId="0" xfId="1" applyNumberFormat="1" applyFont="1"/>
    <xf numFmtId="10" fontId="5" fillId="0" borderId="0" xfId="1" applyNumberFormat="1" applyFont="1"/>
    <xf numFmtId="0" fontId="0" fillId="0" borderId="16" xfId="0" applyBorder="1"/>
    <xf numFmtId="174" fontId="1" fillId="0" borderId="0" xfId="0" applyNumberFormat="1" applyFont="1"/>
    <xf numFmtId="174" fontId="1" fillId="0" borderId="16" xfId="0" applyNumberFormat="1" applyFont="1" applyBorder="1"/>
    <xf numFmtId="1" fontId="1" fillId="0" borderId="0" xfId="0" applyNumberFormat="1" applyFont="1"/>
    <xf numFmtId="1" fontId="0" fillId="0" borderId="16" xfId="0" applyNumberFormat="1" applyBorder="1"/>
    <xf numFmtId="0" fontId="0" fillId="0" borderId="15" xfId="0" applyBorder="1"/>
    <xf numFmtId="174" fontId="1" fillId="0" borderId="15" xfId="0" applyNumberFormat="1" applyFont="1" applyBorder="1"/>
    <xf numFmtId="1" fontId="0" fillId="0" borderId="15" xfId="0" applyNumberFormat="1" applyBorder="1"/>
    <xf numFmtId="0" fontId="1" fillId="0" borderId="15" xfId="0" applyFont="1" applyBorder="1"/>
    <xf numFmtId="0" fontId="1" fillId="0" borderId="16" xfId="0" applyFont="1" applyBorder="1"/>
    <xf numFmtId="0" fontId="5" fillId="0" borderId="16" xfId="0" applyFont="1" applyBorder="1"/>
    <xf numFmtId="0" fontId="21" fillId="0" borderId="0" xfId="0" applyFont="1"/>
    <xf numFmtId="0" fontId="1" fillId="4" borderId="0" xfId="0" applyFont="1" applyFill="1" applyAlignment="1">
      <alignment horizontal="center" vertical="center" wrapText="1"/>
    </xf>
    <xf numFmtId="0" fontId="1" fillId="4" borderId="16" xfId="0" applyFont="1" applyFill="1" applyBorder="1" applyAlignment="1">
      <alignment horizontal="center" vertical="center" wrapText="1"/>
    </xf>
    <xf numFmtId="0" fontId="1" fillId="11" borderId="15" xfId="0" applyFont="1" applyFill="1" applyBorder="1" applyAlignment="1">
      <alignment horizontal="center"/>
    </xf>
    <xf numFmtId="0" fontId="1" fillId="10" borderId="0" xfId="0" applyFont="1" applyFill="1" applyAlignment="1">
      <alignment horizontal="center"/>
    </xf>
    <xf numFmtId="0" fontId="1" fillId="3" borderId="0" xfId="0" applyFont="1" applyFill="1" applyAlignment="1">
      <alignment horizontal="center"/>
    </xf>
    <xf numFmtId="0" fontId="3" fillId="2" borderId="0" xfId="0" applyFont="1" applyFill="1" applyAlignment="1">
      <alignment horizontal="center"/>
    </xf>
    <xf numFmtId="169" fontId="1" fillId="3" borderId="0" xfId="0" applyNumberFormat="1" applyFont="1" applyFill="1" applyAlignment="1">
      <alignment horizontal="center"/>
    </xf>
    <xf numFmtId="0" fontId="15" fillId="0" borderId="0" xfId="2" applyFont="1" applyAlignment="1">
      <alignment vertical="top" wrapText="1"/>
    </xf>
  </cellXfs>
  <cellStyles count="7">
    <cellStyle name="Comma" xfId="6" builtinId="3"/>
    <cellStyle name="Comma 2" xfId="4" xr:uid="{4F45ED38-D443-4D28-84BF-B0E8EBEB371C}"/>
    <cellStyle name="Normal" xfId="0" builtinId="0"/>
    <cellStyle name="Normal 2" xfId="2" xr:uid="{DF82657E-D46F-4960-A217-8B844786263A}"/>
    <cellStyle name="Normal 3" xfId="3" xr:uid="{05696D8A-E414-4295-A535-4D087684B7B0}"/>
    <cellStyle name="Percent" xfId="1" builtinId="5"/>
    <cellStyle name="Percent 2" xfId="5" xr:uid="{579BAF31-BBE3-4B08-9332-856AAFD31736}"/>
  </cellStyles>
  <dxfs count="3">
    <dxf>
      <fill>
        <patternFill>
          <bgColor rgb="FFFFFF00"/>
        </patternFill>
      </fill>
    </dxf>
    <dxf>
      <fill>
        <patternFill>
          <bgColor rgb="FF92D050"/>
        </patternFill>
      </fill>
    </dxf>
    <dxf>
      <fill>
        <patternFill>
          <bgColor rgb="FFFF000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Football Feild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DCF!$G$51</c:f>
              <c:strCache>
                <c:ptCount val="1"/>
                <c:pt idx="0">
                  <c:v>MIN</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DCF!$F$52:$F$54</c:f>
              <c:strCache>
                <c:ptCount val="3"/>
                <c:pt idx="0">
                  <c:v>PGP</c:v>
                </c:pt>
                <c:pt idx="1">
                  <c:v>EMM</c:v>
                </c:pt>
                <c:pt idx="2">
                  <c:v>52 WEEK H/L</c:v>
                </c:pt>
              </c:strCache>
            </c:strRef>
          </c:cat>
          <c:val>
            <c:numRef>
              <c:f>DCF!$G$52:$G$54</c:f>
              <c:numCache>
                <c:formatCode>0</c:formatCode>
                <c:ptCount val="3"/>
                <c:pt idx="0">
                  <c:v>222.79063732231987</c:v>
                </c:pt>
                <c:pt idx="1">
                  <c:v>614.79003684497343</c:v>
                </c:pt>
                <c:pt idx="2" formatCode="General">
                  <c:v>520</c:v>
                </c:pt>
              </c:numCache>
            </c:numRef>
          </c:val>
          <c:extLst>
            <c:ext xmlns:c16="http://schemas.microsoft.com/office/drawing/2014/chart" uri="{C3380CC4-5D6E-409C-BE32-E72D297353CC}">
              <c16:uniqueId val="{00000000-0BE9-4694-966D-6D7C6AEFC629}"/>
            </c:ext>
          </c:extLst>
        </c:ser>
        <c:ser>
          <c:idx val="1"/>
          <c:order val="1"/>
          <c:tx>
            <c:strRef>
              <c:f>DCF!$H$51</c:f>
              <c:strCache>
                <c:ptCount val="1"/>
                <c:pt idx="0">
                  <c:v>RANGE</c:v>
                </c:pt>
              </c:strCache>
            </c:strRef>
          </c:tx>
          <c:spPr>
            <a:solidFill>
              <a:schemeClr val="accent2"/>
            </a:solidFill>
            <a:ln>
              <a:noFill/>
            </a:ln>
            <a:effectLst/>
          </c:spPr>
          <c:invertIfNegative val="0"/>
          <c:cat>
            <c:strRef>
              <c:f>DCF!$F$52:$F$54</c:f>
              <c:strCache>
                <c:ptCount val="3"/>
                <c:pt idx="0">
                  <c:v>PGP</c:v>
                </c:pt>
                <c:pt idx="1">
                  <c:v>EMM</c:v>
                </c:pt>
                <c:pt idx="2">
                  <c:v>52 WEEK H/L</c:v>
                </c:pt>
              </c:strCache>
            </c:strRef>
          </c:cat>
          <c:val>
            <c:numRef>
              <c:f>DCF!$H$52:$H$54</c:f>
              <c:numCache>
                <c:formatCode>0</c:formatCode>
                <c:ptCount val="3"/>
                <c:pt idx="0">
                  <c:v>467.26805035357347</c:v>
                </c:pt>
                <c:pt idx="1">
                  <c:v>272.72922077548446</c:v>
                </c:pt>
                <c:pt idx="2" formatCode="General">
                  <c:v>276</c:v>
                </c:pt>
              </c:numCache>
            </c:numRef>
          </c:val>
          <c:extLst>
            <c:ext xmlns:c16="http://schemas.microsoft.com/office/drawing/2014/chart" uri="{C3380CC4-5D6E-409C-BE32-E72D297353CC}">
              <c16:uniqueId val="{00000001-0BE9-4694-966D-6D7C6AEFC629}"/>
            </c:ext>
          </c:extLst>
        </c:ser>
        <c:ser>
          <c:idx val="2"/>
          <c:order val="2"/>
          <c:tx>
            <c:strRef>
              <c:f>DCF!$I$51</c:f>
              <c:strCache>
                <c:ptCount val="1"/>
                <c:pt idx="0">
                  <c:v>MAX</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DCF!$F$52:$F$54</c:f>
              <c:strCache>
                <c:ptCount val="3"/>
                <c:pt idx="0">
                  <c:v>PGP</c:v>
                </c:pt>
                <c:pt idx="1">
                  <c:v>EMM</c:v>
                </c:pt>
                <c:pt idx="2">
                  <c:v>52 WEEK H/L</c:v>
                </c:pt>
              </c:strCache>
            </c:strRef>
          </c:cat>
          <c:val>
            <c:numRef>
              <c:f>DCF!$I$52:$I$54</c:f>
              <c:numCache>
                <c:formatCode>0</c:formatCode>
                <c:ptCount val="3"/>
                <c:pt idx="0">
                  <c:v>690.05868767589334</c:v>
                </c:pt>
                <c:pt idx="1">
                  <c:v>887.51925762045789</c:v>
                </c:pt>
                <c:pt idx="2" formatCode="General">
                  <c:v>796</c:v>
                </c:pt>
              </c:numCache>
            </c:numRef>
          </c:val>
          <c:extLst>
            <c:ext xmlns:c16="http://schemas.microsoft.com/office/drawing/2014/chart" uri="{C3380CC4-5D6E-409C-BE32-E72D297353CC}">
              <c16:uniqueId val="{00000002-0BE9-4694-966D-6D7C6AEFC629}"/>
            </c:ext>
          </c:extLst>
        </c:ser>
        <c:dLbls>
          <c:showLegendKey val="0"/>
          <c:showVal val="0"/>
          <c:showCatName val="0"/>
          <c:showSerName val="0"/>
          <c:showPercent val="0"/>
          <c:showBubbleSize val="0"/>
        </c:dLbls>
        <c:gapWidth val="150"/>
        <c:overlap val="100"/>
        <c:axId val="1219374655"/>
        <c:axId val="1219363615"/>
      </c:barChart>
      <c:catAx>
        <c:axId val="121937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363615"/>
        <c:crosses val="autoZero"/>
        <c:auto val="1"/>
        <c:lblAlgn val="ctr"/>
        <c:lblOffset val="100"/>
        <c:noMultiLvlLbl val="0"/>
      </c:catAx>
      <c:valAx>
        <c:axId val="121936361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9374655"/>
        <c:crosses val="autoZero"/>
        <c:crossBetween val="between"/>
      </c:valAx>
      <c:spPr>
        <a:noFill/>
        <a:ln w="25400">
          <a:noFill/>
        </a:ln>
        <a:effectLst/>
      </c:spPr>
    </c:plotArea>
    <c:legend>
      <c:legendPos val="b"/>
      <c:legendEntry>
        <c:idx val="0"/>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594360</xdr:colOff>
      <xdr:row>49</xdr:row>
      <xdr:rowOff>175260</xdr:rowOff>
    </xdr:from>
    <xdr:to>
      <xdr:col>16</xdr:col>
      <xdr:colOff>198120</xdr:colOff>
      <xdr:row>64</xdr:row>
      <xdr:rowOff>152400</xdr:rowOff>
    </xdr:to>
    <xdr:graphicFrame macro="">
      <xdr:nvGraphicFramePr>
        <xdr:cNvPr id="3" name="Chart 2">
          <a:extLst>
            <a:ext uri="{FF2B5EF4-FFF2-40B4-BE49-F238E27FC236}">
              <a16:creationId xmlns:a16="http://schemas.microsoft.com/office/drawing/2014/main" id="{EA49BF0C-3A9B-4F56-45C7-6D9644242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Yuvraj Yuvraj" id="{5B587C34-D459-40DF-A89E-9A60D1320F99}" userId="f412ab4389d7776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 dT="2026-06-22T13:00:15.09" personId="{5B587C34-D459-40DF-A89E-9A60D1320F99}" id="{FD9BA3F9-CF2F-4DF2-B62F-86233E495839}">
    <text>Perpetuity Growth Method</text>
  </threadedComment>
  <threadedComment ref="E15" dT="2026-06-22T13:00:55.60" personId="{5B587C34-D459-40DF-A89E-9A60D1320F99}" id="{249990D4-3D89-4DBB-9006-7F80997B9D68}">
    <text>Exit Multiple Method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C5D2-C133-4C48-A54D-CAED12D3D987}">
  <dimension ref="A1:F14"/>
  <sheetViews>
    <sheetView showGridLines="0" topLeftCell="A3" zoomScale="85" zoomScaleNormal="85" workbookViewId="0">
      <selection activeCell="B7" sqref="B7"/>
    </sheetView>
  </sheetViews>
  <sheetFormatPr defaultColWidth="8.77734375" defaultRowHeight="31.05" customHeight="1"/>
  <cols>
    <col min="1" max="1" width="1.77734375" style="19" customWidth="1"/>
    <col min="2" max="2" width="0.77734375" style="19" customWidth="1"/>
    <col min="3" max="3" width="61.21875" style="19" customWidth="1"/>
    <col min="4" max="5" width="15.77734375" style="19" customWidth="1"/>
    <col min="6" max="6" width="76.21875" style="19" customWidth="1"/>
    <col min="7" max="7" width="8.77734375" style="19"/>
    <col min="8" max="8" width="9.77734375" style="19" bestFit="1" customWidth="1"/>
    <col min="9" max="256" width="8.77734375" style="19"/>
    <col min="257" max="257" width="1.77734375" style="19" customWidth="1"/>
    <col min="258" max="258" width="0.77734375" style="19" customWidth="1"/>
    <col min="259" max="259" width="61.21875" style="19" customWidth="1"/>
    <col min="260" max="261" width="15.77734375" style="19" customWidth="1"/>
    <col min="262" max="262" width="76.21875" style="19" customWidth="1"/>
    <col min="263" max="263" width="8.77734375" style="19"/>
    <col min="264" max="264" width="9.77734375" style="19" bestFit="1" customWidth="1"/>
    <col min="265" max="512" width="8.77734375" style="19"/>
    <col min="513" max="513" width="1.77734375" style="19" customWidth="1"/>
    <col min="514" max="514" width="0.77734375" style="19" customWidth="1"/>
    <col min="515" max="515" width="61.21875" style="19" customWidth="1"/>
    <col min="516" max="517" width="15.77734375" style="19" customWidth="1"/>
    <col min="518" max="518" width="76.21875" style="19" customWidth="1"/>
    <col min="519" max="519" width="8.77734375" style="19"/>
    <col min="520" max="520" width="9.77734375" style="19" bestFit="1" customWidth="1"/>
    <col min="521" max="768" width="8.77734375" style="19"/>
    <col min="769" max="769" width="1.77734375" style="19" customWidth="1"/>
    <col min="770" max="770" width="0.77734375" style="19" customWidth="1"/>
    <col min="771" max="771" width="61.21875" style="19" customWidth="1"/>
    <col min="772" max="773" width="15.77734375" style="19" customWidth="1"/>
    <col min="774" max="774" width="76.21875" style="19" customWidth="1"/>
    <col min="775" max="775" width="8.77734375" style="19"/>
    <col min="776" max="776" width="9.77734375" style="19" bestFit="1" customWidth="1"/>
    <col min="777" max="1024" width="8.77734375" style="19"/>
    <col min="1025" max="1025" width="1.77734375" style="19" customWidth="1"/>
    <col min="1026" max="1026" width="0.77734375" style="19" customWidth="1"/>
    <col min="1027" max="1027" width="61.21875" style="19" customWidth="1"/>
    <col min="1028" max="1029" width="15.77734375" style="19" customWidth="1"/>
    <col min="1030" max="1030" width="76.21875" style="19" customWidth="1"/>
    <col min="1031" max="1031" width="8.77734375" style="19"/>
    <col min="1032" max="1032" width="9.77734375" style="19" bestFit="1" customWidth="1"/>
    <col min="1033" max="1280" width="8.77734375" style="19"/>
    <col min="1281" max="1281" width="1.77734375" style="19" customWidth="1"/>
    <col min="1282" max="1282" width="0.77734375" style="19" customWidth="1"/>
    <col min="1283" max="1283" width="61.21875" style="19" customWidth="1"/>
    <col min="1284" max="1285" width="15.77734375" style="19" customWidth="1"/>
    <col min="1286" max="1286" width="76.21875" style="19" customWidth="1"/>
    <col min="1287" max="1287" width="8.77734375" style="19"/>
    <col min="1288" max="1288" width="9.77734375" style="19" bestFit="1" customWidth="1"/>
    <col min="1289" max="1536" width="8.77734375" style="19"/>
    <col min="1537" max="1537" width="1.77734375" style="19" customWidth="1"/>
    <col min="1538" max="1538" width="0.77734375" style="19" customWidth="1"/>
    <col min="1539" max="1539" width="61.21875" style="19" customWidth="1"/>
    <col min="1540" max="1541" width="15.77734375" style="19" customWidth="1"/>
    <col min="1542" max="1542" width="76.21875" style="19" customWidth="1"/>
    <col min="1543" max="1543" width="8.77734375" style="19"/>
    <col min="1544" max="1544" width="9.77734375" style="19" bestFit="1" customWidth="1"/>
    <col min="1545" max="1792" width="8.77734375" style="19"/>
    <col min="1793" max="1793" width="1.77734375" style="19" customWidth="1"/>
    <col min="1794" max="1794" width="0.77734375" style="19" customWidth="1"/>
    <col min="1795" max="1795" width="61.21875" style="19" customWidth="1"/>
    <col min="1796" max="1797" width="15.77734375" style="19" customWidth="1"/>
    <col min="1798" max="1798" width="76.21875" style="19" customWidth="1"/>
    <col min="1799" max="1799" width="8.77734375" style="19"/>
    <col min="1800" max="1800" width="9.77734375" style="19" bestFit="1" customWidth="1"/>
    <col min="1801" max="2048" width="8.77734375" style="19"/>
    <col min="2049" max="2049" width="1.77734375" style="19" customWidth="1"/>
    <col min="2050" max="2050" width="0.77734375" style="19" customWidth="1"/>
    <col min="2051" max="2051" width="61.21875" style="19" customWidth="1"/>
    <col min="2052" max="2053" width="15.77734375" style="19" customWidth="1"/>
    <col min="2054" max="2054" width="76.21875" style="19" customWidth="1"/>
    <col min="2055" max="2055" width="8.77734375" style="19"/>
    <col min="2056" max="2056" width="9.77734375" style="19" bestFit="1" customWidth="1"/>
    <col min="2057" max="2304" width="8.77734375" style="19"/>
    <col min="2305" max="2305" width="1.77734375" style="19" customWidth="1"/>
    <col min="2306" max="2306" width="0.77734375" style="19" customWidth="1"/>
    <col min="2307" max="2307" width="61.21875" style="19" customWidth="1"/>
    <col min="2308" max="2309" width="15.77734375" style="19" customWidth="1"/>
    <col min="2310" max="2310" width="76.21875" style="19" customWidth="1"/>
    <col min="2311" max="2311" width="8.77734375" style="19"/>
    <col min="2312" max="2312" width="9.77734375" style="19" bestFit="1" customWidth="1"/>
    <col min="2313" max="2560" width="8.77734375" style="19"/>
    <col min="2561" max="2561" width="1.77734375" style="19" customWidth="1"/>
    <col min="2562" max="2562" width="0.77734375" style="19" customWidth="1"/>
    <col min="2563" max="2563" width="61.21875" style="19" customWidth="1"/>
    <col min="2564" max="2565" width="15.77734375" style="19" customWidth="1"/>
    <col min="2566" max="2566" width="76.21875" style="19" customWidth="1"/>
    <col min="2567" max="2567" width="8.77734375" style="19"/>
    <col min="2568" max="2568" width="9.77734375" style="19" bestFit="1" customWidth="1"/>
    <col min="2569" max="2816" width="8.77734375" style="19"/>
    <col min="2817" max="2817" width="1.77734375" style="19" customWidth="1"/>
    <col min="2818" max="2818" width="0.77734375" style="19" customWidth="1"/>
    <col min="2819" max="2819" width="61.21875" style="19" customWidth="1"/>
    <col min="2820" max="2821" width="15.77734375" style="19" customWidth="1"/>
    <col min="2822" max="2822" width="76.21875" style="19" customWidth="1"/>
    <col min="2823" max="2823" width="8.77734375" style="19"/>
    <col min="2824" max="2824" width="9.77734375" style="19" bestFit="1" customWidth="1"/>
    <col min="2825" max="3072" width="8.77734375" style="19"/>
    <col min="3073" max="3073" width="1.77734375" style="19" customWidth="1"/>
    <col min="3074" max="3074" width="0.77734375" style="19" customWidth="1"/>
    <col min="3075" max="3075" width="61.21875" style="19" customWidth="1"/>
    <col min="3076" max="3077" width="15.77734375" style="19" customWidth="1"/>
    <col min="3078" max="3078" width="76.21875" style="19" customWidth="1"/>
    <col min="3079" max="3079" width="8.77734375" style="19"/>
    <col min="3080" max="3080" width="9.77734375" style="19" bestFit="1" customWidth="1"/>
    <col min="3081" max="3328" width="8.77734375" style="19"/>
    <col min="3329" max="3329" width="1.77734375" style="19" customWidth="1"/>
    <col min="3330" max="3330" width="0.77734375" style="19" customWidth="1"/>
    <col min="3331" max="3331" width="61.21875" style="19" customWidth="1"/>
    <col min="3332" max="3333" width="15.77734375" style="19" customWidth="1"/>
    <col min="3334" max="3334" width="76.21875" style="19" customWidth="1"/>
    <col min="3335" max="3335" width="8.77734375" style="19"/>
    <col min="3336" max="3336" width="9.77734375" style="19" bestFit="1" customWidth="1"/>
    <col min="3337" max="3584" width="8.77734375" style="19"/>
    <col min="3585" max="3585" width="1.77734375" style="19" customWidth="1"/>
    <col min="3586" max="3586" width="0.77734375" style="19" customWidth="1"/>
    <col min="3587" max="3587" width="61.21875" style="19" customWidth="1"/>
    <col min="3588" max="3589" width="15.77734375" style="19" customWidth="1"/>
    <col min="3590" max="3590" width="76.21875" style="19" customWidth="1"/>
    <col min="3591" max="3591" width="8.77734375" style="19"/>
    <col min="3592" max="3592" width="9.77734375" style="19" bestFit="1" customWidth="1"/>
    <col min="3593" max="3840" width="8.77734375" style="19"/>
    <col min="3841" max="3841" width="1.77734375" style="19" customWidth="1"/>
    <col min="3842" max="3842" width="0.77734375" style="19" customWidth="1"/>
    <col min="3843" max="3843" width="61.21875" style="19" customWidth="1"/>
    <col min="3844" max="3845" width="15.77734375" style="19" customWidth="1"/>
    <col min="3846" max="3846" width="76.21875" style="19" customWidth="1"/>
    <col min="3847" max="3847" width="8.77734375" style="19"/>
    <col min="3848" max="3848" width="9.77734375" style="19" bestFit="1" customWidth="1"/>
    <col min="3849" max="4096" width="8.77734375" style="19"/>
    <col min="4097" max="4097" width="1.77734375" style="19" customWidth="1"/>
    <col min="4098" max="4098" width="0.77734375" style="19" customWidth="1"/>
    <col min="4099" max="4099" width="61.21875" style="19" customWidth="1"/>
    <col min="4100" max="4101" width="15.77734375" style="19" customWidth="1"/>
    <col min="4102" max="4102" width="76.21875" style="19" customWidth="1"/>
    <col min="4103" max="4103" width="8.77734375" style="19"/>
    <col min="4104" max="4104" width="9.77734375" style="19" bestFit="1" customWidth="1"/>
    <col min="4105" max="4352" width="8.77734375" style="19"/>
    <col min="4353" max="4353" width="1.77734375" style="19" customWidth="1"/>
    <col min="4354" max="4354" width="0.77734375" style="19" customWidth="1"/>
    <col min="4355" max="4355" width="61.21875" style="19" customWidth="1"/>
    <col min="4356" max="4357" width="15.77734375" style="19" customWidth="1"/>
    <col min="4358" max="4358" width="76.21875" style="19" customWidth="1"/>
    <col min="4359" max="4359" width="8.77734375" style="19"/>
    <col min="4360" max="4360" width="9.77734375" style="19" bestFit="1" customWidth="1"/>
    <col min="4361" max="4608" width="8.77734375" style="19"/>
    <col min="4609" max="4609" width="1.77734375" style="19" customWidth="1"/>
    <col min="4610" max="4610" width="0.77734375" style="19" customWidth="1"/>
    <col min="4611" max="4611" width="61.21875" style="19" customWidth="1"/>
    <col min="4612" max="4613" width="15.77734375" style="19" customWidth="1"/>
    <col min="4614" max="4614" width="76.21875" style="19" customWidth="1"/>
    <col min="4615" max="4615" width="8.77734375" style="19"/>
    <col min="4616" max="4616" width="9.77734375" style="19" bestFit="1" customWidth="1"/>
    <col min="4617" max="4864" width="8.77734375" style="19"/>
    <col min="4865" max="4865" width="1.77734375" style="19" customWidth="1"/>
    <col min="4866" max="4866" width="0.77734375" style="19" customWidth="1"/>
    <col min="4867" max="4867" width="61.21875" style="19" customWidth="1"/>
    <col min="4868" max="4869" width="15.77734375" style="19" customWidth="1"/>
    <col min="4870" max="4870" width="76.21875" style="19" customWidth="1"/>
    <col min="4871" max="4871" width="8.77734375" style="19"/>
    <col min="4872" max="4872" width="9.77734375" style="19" bestFit="1" customWidth="1"/>
    <col min="4873" max="5120" width="8.77734375" style="19"/>
    <col min="5121" max="5121" width="1.77734375" style="19" customWidth="1"/>
    <col min="5122" max="5122" width="0.77734375" style="19" customWidth="1"/>
    <col min="5123" max="5123" width="61.21875" style="19" customWidth="1"/>
    <col min="5124" max="5125" width="15.77734375" style="19" customWidth="1"/>
    <col min="5126" max="5126" width="76.21875" style="19" customWidth="1"/>
    <col min="5127" max="5127" width="8.77734375" style="19"/>
    <col min="5128" max="5128" width="9.77734375" style="19" bestFit="1" customWidth="1"/>
    <col min="5129" max="5376" width="8.77734375" style="19"/>
    <col min="5377" max="5377" width="1.77734375" style="19" customWidth="1"/>
    <col min="5378" max="5378" width="0.77734375" style="19" customWidth="1"/>
    <col min="5379" max="5379" width="61.21875" style="19" customWidth="1"/>
    <col min="5380" max="5381" width="15.77734375" style="19" customWidth="1"/>
    <col min="5382" max="5382" width="76.21875" style="19" customWidth="1"/>
    <col min="5383" max="5383" width="8.77734375" style="19"/>
    <col min="5384" max="5384" width="9.77734375" style="19" bestFit="1" customWidth="1"/>
    <col min="5385" max="5632" width="8.77734375" style="19"/>
    <col min="5633" max="5633" width="1.77734375" style="19" customWidth="1"/>
    <col min="5634" max="5634" width="0.77734375" style="19" customWidth="1"/>
    <col min="5635" max="5635" width="61.21875" style="19" customWidth="1"/>
    <col min="5636" max="5637" width="15.77734375" style="19" customWidth="1"/>
    <col min="5638" max="5638" width="76.21875" style="19" customWidth="1"/>
    <col min="5639" max="5639" width="8.77734375" style="19"/>
    <col min="5640" max="5640" width="9.77734375" style="19" bestFit="1" customWidth="1"/>
    <col min="5641" max="5888" width="8.77734375" style="19"/>
    <col min="5889" max="5889" width="1.77734375" style="19" customWidth="1"/>
    <col min="5890" max="5890" width="0.77734375" style="19" customWidth="1"/>
    <col min="5891" max="5891" width="61.21875" style="19" customWidth="1"/>
    <col min="5892" max="5893" width="15.77734375" style="19" customWidth="1"/>
    <col min="5894" max="5894" width="76.21875" style="19" customWidth="1"/>
    <col min="5895" max="5895" width="8.77734375" style="19"/>
    <col min="5896" max="5896" width="9.77734375" style="19" bestFit="1" customWidth="1"/>
    <col min="5897" max="6144" width="8.77734375" style="19"/>
    <col min="6145" max="6145" width="1.77734375" style="19" customWidth="1"/>
    <col min="6146" max="6146" width="0.77734375" style="19" customWidth="1"/>
    <col min="6147" max="6147" width="61.21875" style="19" customWidth="1"/>
    <col min="6148" max="6149" width="15.77734375" style="19" customWidth="1"/>
    <col min="6150" max="6150" width="76.21875" style="19" customWidth="1"/>
    <col min="6151" max="6151" width="8.77734375" style="19"/>
    <col min="6152" max="6152" width="9.77734375" style="19" bestFit="1" customWidth="1"/>
    <col min="6153" max="6400" width="8.77734375" style="19"/>
    <col min="6401" max="6401" width="1.77734375" style="19" customWidth="1"/>
    <col min="6402" max="6402" width="0.77734375" style="19" customWidth="1"/>
    <col min="6403" max="6403" width="61.21875" style="19" customWidth="1"/>
    <col min="6404" max="6405" width="15.77734375" style="19" customWidth="1"/>
    <col min="6406" max="6406" width="76.21875" style="19" customWidth="1"/>
    <col min="6407" max="6407" width="8.77734375" style="19"/>
    <col min="6408" max="6408" width="9.77734375" style="19" bestFit="1" customWidth="1"/>
    <col min="6409" max="6656" width="8.77734375" style="19"/>
    <col min="6657" max="6657" width="1.77734375" style="19" customWidth="1"/>
    <col min="6658" max="6658" width="0.77734375" style="19" customWidth="1"/>
    <col min="6659" max="6659" width="61.21875" style="19" customWidth="1"/>
    <col min="6660" max="6661" width="15.77734375" style="19" customWidth="1"/>
    <col min="6662" max="6662" width="76.21875" style="19" customWidth="1"/>
    <col min="6663" max="6663" width="8.77734375" style="19"/>
    <col min="6664" max="6664" width="9.77734375" style="19" bestFit="1" customWidth="1"/>
    <col min="6665" max="6912" width="8.77734375" style="19"/>
    <col min="6913" max="6913" width="1.77734375" style="19" customWidth="1"/>
    <col min="6914" max="6914" width="0.77734375" style="19" customWidth="1"/>
    <col min="6915" max="6915" width="61.21875" style="19" customWidth="1"/>
    <col min="6916" max="6917" width="15.77734375" style="19" customWidth="1"/>
    <col min="6918" max="6918" width="76.21875" style="19" customWidth="1"/>
    <col min="6919" max="6919" width="8.77734375" style="19"/>
    <col min="6920" max="6920" width="9.77734375" style="19" bestFit="1" customWidth="1"/>
    <col min="6921" max="7168" width="8.77734375" style="19"/>
    <col min="7169" max="7169" width="1.77734375" style="19" customWidth="1"/>
    <col min="7170" max="7170" width="0.77734375" style="19" customWidth="1"/>
    <col min="7171" max="7171" width="61.21875" style="19" customWidth="1"/>
    <col min="7172" max="7173" width="15.77734375" style="19" customWidth="1"/>
    <col min="7174" max="7174" width="76.21875" style="19" customWidth="1"/>
    <col min="7175" max="7175" width="8.77734375" style="19"/>
    <col min="7176" max="7176" width="9.77734375" style="19" bestFit="1" customWidth="1"/>
    <col min="7177" max="7424" width="8.77734375" style="19"/>
    <col min="7425" max="7425" width="1.77734375" style="19" customWidth="1"/>
    <col min="7426" max="7426" width="0.77734375" style="19" customWidth="1"/>
    <col min="7427" max="7427" width="61.21875" style="19" customWidth="1"/>
    <col min="7428" max="7429" width="15.77734375" style="19" customWidth="1"/>
    <col min="7430" max="7430" width="76.21875" style="19" customWidth="1"/>
    <col min="7431" max="7431" width="8.77734375" style="19"/>
    <col min="7432" max="7432" width="9.77734375" style="19" bestFit="1" customWidth="1"/>
    <col min="7433" max="7680" width="8.77734375" style="19"/>
    <col min="7681" max="7681" width="1.77734375" style="19" customWidth="1"/>
    <col min="7682" max="7682" width="0.77734375" style="19" customWidth="1"/>
    <col min="7683" max="7683" width="61.21875" style="19" customWidth="1"/>
    <col min="7684" max="7685" width="15.77734375" style="19" customWidth="1"/>
    <col min="7686" max="7686" width="76.21875" style="19" customWidth="1"/>
    <col min="7687" max="7687" width="8.77734375" style="19"/>
    <col min="7688" max="7688" width="9.77734375" style="19" bestFit="1" customWidth="1"/>
    <col min="7689" max="7936" width="8.77734375" style="19"/>
    <col min="7937" max="7937" width="1.77734375" style="19" customWidth="1"/>
    <col min="7938" max="7938" width="0.77734375" style="19" customWidth="1"/>
    <col min="7939" max="7939" width="61.21875" style="19" customWidth="1"/>
    <col min="7940" max="7941" width="15.77734375" style="19" customWidth="1"/>
    <col min="7942" max="7942" width="76.21875" style="19" customWidth="1"/>
    <col min="7943" max="7943" width="8.77734375" style="19"/>
    <col min="7944" max="7944" width="9.77734375" style="19" bestFit="1" customWidth="1"/>
    <col min="7945" max="8192" width="8.77734375" style="19"/>
    <col min="8193" max="8193" width="1.77734375" style="19" customWidth="1"/>
    <col min="8194" max="8194" width="0.77734375" style="19" customWidth="1"/>
    <col min="8195" max="8195" width="61.21875" style="19" customWidth="1"/>
    <col min="8196" max="8197" width="15.77734375" style="19" customWidth="1"/>
    <col min="8198" max="8198" width="76.21875" style="19" customWidth="1"/>
    <col min="8199" max="8199" width="8.77734375" style="19"/>
    <col min="8200" max="8200" width="9.77734375" style="19" bestFit="1" customWidth="1"/>
    <col min="8201" max="8448" width="8.77734375" style="19"/>
    <col min="8449" max="8449" width="1.77734375" style="19" customWidth="1"/>
    <col min="8450" max="8450" width="0.77734375" style="19" customWidth="1"/>
    <col min="8451" max="8451" width="61.21875" style="19" customWidth="1"/>
    <col min="8452" max="8453" width="15.77734375" style="19" customWidth="1"/>
    <col min="8454" max="8454" width="76.21875" style="19" customWidth="1"/>
    <col min="8455" max="8455" width="8.77734375" style="19"/>
    <col min="8456" max="8456" width="9.77734375" style="19" bestFit="1" customWidth="1"/>
    <col min="8457" max="8704" width="8.77734375" style="19"/>
    <col min="8705" max="8705" width="1.77734375" style="19" customWidth="1"/>
    <col min="8706" max="8706" width="0.77734375" style="19" customWidth="1"/>
    <col min="8707" max="8707" width="61.21875" style="19" customWidth="1"/>
    <col min="8708" max="8709" width="15.77734375" style="19" customWidth="1"/>
    <col min="8710" max="8710" width="76.21875" style="19" customWidth="1"/>
    <col min="8711" max="8711" width="8.77734375" style="19"/>
    <col min="8712" max="8712" width="9.77734375" style="19" bestFit="1" customWidth="1"/>
    <col min="8713" max="8960" width="8.77734375" style="19"/>
    <col min="8961" max="8961" width="1.77734375" style="19" customWidth="1"/>
    <col min="8962" max="8962" width="0.77734375" style="19" customWidth="1"/>
    <col min="8963" max="8963" width="61.21875" style="19" customWidth="1"/>
    <col min="8964" max="8965" width="15.77734375" style="19" customWidth="1"/>
    <col min="8966" max="8966" width="76.21875" style="19" customWidth="1"/>
    <col min="8967" max="8967" width="8.77734375" style="19"/>
    <col min="8968" max="8968" width="9.77734375" style="19" bestFit="1" customWidth="1"/>
    <col min="8969" max="9216" width="8.77734375" style="19"/>
    <col min="9217" max="9217" width="1.77734375" style="19" customWidth="1"/>
    <col min="9218" max="9218" width="0.77734375" style="19" customWidth="1"/>
    <col min="9219" max="9219" width="61.21875" style="19" customWidth="1"/>
    <col min="9220" max="9221" width="15.77734375" style="19" customWidth="1"/>
    <col min="9222" max="9222" width="76.21875" style="19" customWidth="1"/>
    <col min="9223" max="9223" width="8.77734375" style="19"/>
    <col min="9224" max="9224" width="9.77734375" style="19" bestFit="1" customWidth="1"/>
    <col min="9225" max="9472" width="8.77734375" style="19"/>
    <col min="9473" max="9473" width="1.77734375" style="19" customWidth="1"/>
    <col min="9474" max="9474" width="0.77734375" style="19" customWidth="1"/>
    <col min="9475" max="9475" width="61.21875" style="19" customWidth="1"/>
    <col min="9476" max="9477" width="15.77734375" style="19" customWidth="1"/>
    <col min="9478" max="9478" width="76.21875" style="19" customWidth="1"/>
    <col min="9479" max="9479" width="8.77734375" style="19"/>
    <col min="9480" max="9480" width="9.77734375" style="19" bestFit="1" customWidth="1"/>
    <col min="9481" max="9728" width="8.77734375" style="19"/>
    <col min="9729" max="9729" width="1.77734375" style="19" customWidth="1"/>
    <col min="9730" max="9730" width="0.77734375" style="19" customWidth="1"/>
    <col min="9731" max="9731" width="61.21875" style="19" customWidth="1"/>
    <col min="9732" max="9733" width="15.77734375" style="19" customWidth="1"/>
    <col min="9734" max="9734" width="76.21875" style="19" customWidth="1"/>
    <col min="9735" max="9735" width="8.77734375" style="19"/>
    <col min="9736" max="9736" width="9.77734375" style="19" bestFit="1" customWidth="1"/>
    <col min="9737" max="9984" width="8.77734375" style="19"/>
    <col min="9985" max="9985" width="1.77734375" style="19" customWidth="1"/>
    <col min="9986" max="9986" width="0.77734375" style="19" customWidth="1"/>
    <col min="9987" max="9987" width="61.21875" style="19" customWidth="1"/>
    <col min="9988" max="9989" width="15.77734375" style="19" customWidth="1"/>
    <col min="9990" max="9990" width="76.21875" style="19" customWidth="1"/>
    <col min="9991" max="9991" width="8.77734375" style="19"/>
    <col min="9992" max="9992" width="9.77734375" style="19" bestFit="1" customWidth="1"/>
    <col min="9993" max="10240" width="8.77734375" style="19"/>
    <col min="10241" max="10241" width="1.77734375" style="19" customWidth="1"/>
    <col min="10242" max="10242" width="0.77734375" style="19" customWidth="1"/>
    <col min="10243" max="10243" width="61.21875" style="19" customWidth="1"/>
    <col min="10244" max="10245" width="15.77734375" style="19" customWidth="1"/>
    <col min="10246" max="10246" width="76.21875" style="19" customWidth="1"/>
    <col min="10247" max="10247" width="8.77734375" style="19"/>
    <col min="10248" max="10248" width="9.77734375" style="19" bestFit="1" customWidth="1"/>
    <col min="10249" max="10496" width="8.77734375" style="19"/>
    <col min="10497" max="10497" width="1.77734375" style="19" customWidth="1"/>
    <col min="10498" max="10498" width="0.77734375" style="19" customWidth="1"/>
    <col min="10499" max="10499" width="61.21875" style="19" customWidth="1"/>
    <col min="10500" max="10501" width="15.77734375" style="19" customWidth="1"/>
    <col min="10502" max="10502" width="76.21875" style="19" customWidth="1"/>
    <col min="10503" max="10503" width="8.77734375" style="19"/>
    <col min="10504" max="10504" width="9.77734375" style="19" bestFit="1" customWidth="1"/>
    <col min="10505" max="10752" width="8.77734375" style="19"/>
    <col min="10753" max="10753" width="1.77734375" style="19" customWidth="1"/>
    <col min="10754" max="10754" width="0.77734375" style="19" customWidth="1"/>
    <col min="10755" max="10755" width="61.21875" style="19" customWidth="1"/>
    <col min="10756" max="10757" width="15.77734375" style="19" customWidth="1"/>
    <col min="10758" max="10758" width="76.21875" style="19" customWidth="1"/>
    <col min="10759" max="10759" width="8.77734375" style="19"/>
    <col min="10760" max="10760" width="9.77734375" style="19" bestFit="1" customWidth="1"/>
    <col min="10761" max="11008" width="8.77734375" style="19"/>
    <col min="11009" max="11009" width="1.77734375" style="19" customWidth="1"/>
    <col min="11010" max="11010" width="0.77734375" style="19" customWidth="1"/>
    <col min="11011" max="11011" width="61.21875" style="19" customWidth="1"/>
    <col min="11012" max="11013" width="15.77734375" style="19" customWidth="1"/>
    <col min="11014" max="11014" width="76.21875" style="19" customWidth="1"/>
    <col min="11015" max="11015" width="8.77734375" style="19"/>
    <col min="11016" max="11016" width="9.77734375" style="19" bestFit="1" customWidth="1"/>
    <col min="11017" max="11264" width="8.77734375" style="19"/>
    <col min="11265" max="11265" width="1.77734375" style="19" customWidth="1"/>
    <col min="11266" max="11266" width="0.77734375" style="19" customWidth="1"/>
    <col min="11267" max="11267" width="61.21875" style="19" customWidth="1"/>
    <col min="11268" max="11269" width="15.77734375" style="19" customWidth="1"/>
    <col min="11270" max="11270" width="76.21875" style="19" customWidth="1"/>
    <col min="11271" max="11271" width="8.77734375" style="19"/>
    <col min="11272" max="11272" width="9.77734375" style="19" bestFit="1" customWidth="1"/>
    <col min="11273" max="11520" width="8.77734375" style="19"/>
    <col min="11521" max="11521" width="1.77734375" style="19" customWidth="1"/>
    <col min="11522" max="11522" width="0.77734375" style="19" customWidth="1"/>
    <col min="11523" max="11523" width="61.21875" style="19" customWidth="1"/>
    <col min="11524" max="11525" width="15.77734375" style="19" customWidth="1"/>
    <col min="11526" max="11526" width="76.21875" style="19" customWidth="1"/>
    <col min="11527" max="11527" width="8.77734375" style="19"/>
    <col min="11528" max="11528" width="9.77734375" style="19" bestFit="1" customWidth="1"/>
    <col min="11529" max="11776" width="8.77734375" style="19"/>
    <col min="11777" max="11777" width="1.77734375" style="19" customWidth="1"/>
    <col min="11778" max="11778" width="0.77734375" style="19" customWidth="1"/>
    <col min="11779" max="11779" width="61.21875" style="19" customWidth="1"/>
    <col min="11780" max="11781" width="15.77734375" style="19" customWidth="1"/>
    <col min="11782" max="11782" width="76.21875" style="19" customWidth="1"/>
    <col min="11783" max="11783" width="8.77734375" style="19"/>
    <col min="11784" max="11784" width="9.77734375" style="19" bestFit="1" customWidth="1"/>
    <col min="11785" max="12032" width="8.77734375" style="19"/>
    <col min="12033" max="12033" width="1.77734375" style="19" customWidth="1"/>
    <col min="12034" max="12034" width="0.77734375" style="19" customWidth="1"/>
    <col min="12035" max="12035" width="61.21875" style="19" customWidth="1"/>
    <col min="12036" max="12037" width="15.77734375" style="19" customWidth="1"/>
    <col min="12038" max="12038" width="76.21875" style="19" customWidth="1"/>
    <col min="12039" max="12039" width="8.77734375" style="19"/>
    <col min="12040" max="12040" width="9.77734375" style="19" bestFit="1" customWidth="1"/>
    <col min="12041" max="12288" width="8.77734375" style="19"/>
    <col min="12289" max="12289" width="1.77734375" style="19" customWidth="1"/>
    <col min="12290" max="12290" width="0.77734375" style="19" customWidth="1"/>
    <col min="12291" max="12291" width="61.21875" style="19" customWidth="1"/>
    <col min="12292" max="12293" width="15.77734375" style="19" customWidth="1"/>
    <col min="12294" max="12294" width="76.21875" style="19" customWidth="1"/>
    <col min="12295" max="12295" width="8.77734375" style="19"/>
    <col min="12296" max="12296" width="9.77734375" style="19" bestFit="1" customWidth="1"/>
    <col min="12297" max="12544" width="8.77734375" style="19"/>
    <col min="12545" max="12545" width="1.77734375" style="19" customWidth="1"/>
    <col min="12546" max="12546" width="0.77734375" style="19" customWidth="1"/>
    <col min="12547" max="12547" width="61.21875" style="19" customWidth="1"/>
    <col min="12548" max="12549" width="15.77734375" style="19" customWidth="1"/>
    <col min="12550" max="12550" width="76.21875" style="19" customWidth="1"/>
    <col min="12551" max="12551" width="8.77734375" style="19"/>
    <col min="12552" max="12552" width="9.77734375" style="19" bestFit="1" customWidth="1"/>
    <col min="12553" max="12800" width="8.77734375" style="19"/>
    <col min="12801" max="12801" width="1.77734375" style="19" customWidth="1"/>
    <col min="12802" max="12802" width="0.77734375" style="19" customWidth="1"/>
    <col min="12803" max="12803" width="61.21875" style="19" customWidth="1"/>
    <col min="12804" max="12805" width="15.77734375" style="19" customWidth="1"/>
    <col min="12806" max="12806" width="76.21875" style="19" customWidth="1"/>
    <col min="12807" max="12807" width="8.77734375" style="19"/>
    <col min="12808" max="12808" width="9.77734375" style="19" bestFit="1" customWidth="1"/>
    <col min="12809" max="13056" width="8.77734375" style="19"/>
    <col min="13057" max="13057" width="1.77734375" style="19" customWidth="1"/>
    <col min="13058" max="13058" width="0.77734375" style="19" customWidth="1"/>
    <col min="13059" max="13059" width="61.21875" style="19" customWidth="1"/>
    <col min="13060" max="13061" width="15.77734375" style="19" customWidth="1"/>
    <col min="13062" max="13062" width="76.21875" style="19" customWidth="1"/>
    <col min="13063" max="13063" width="8.77734375" style="19"/>
    <col min="13064" max="13064" width="9.77734375" style="19" bestFit="1" customWidth="1"/>
    <col min="13065" max="13312" width="8.77734375" style="19"/>
    <col min="13313" max="13313" width="1.77734375" style="19" customWidth="1"/>
    <col min="13314" max="13314" width="0.77734375" style="19" customWidth="1"/>
    <col min="13315" max="13315" width="61.21875" style="19" customWidth="1"/>
    <col min="13316" max="13317" width="15.77734375" style="19" customWidth="1"/>
    <col min="13318" max="13318" width="76.21875" style="19" customWidth="1"/>
    <col min="13319" max="13319" width="8.77734375" style="19"/>
    <col min="13320" max="13320" width="9.77734375" style="19" bestFit="1" customWidth="1"/>
    <col min="13321" max="13568" width="8.77734375" style="19"/>
    <col min="13569" max="13569" width="1.77734375" style="19" customWidth="1"/>
    <col min="13570" max="13570" width="0.77734375" style="19" customWidth="1"/>
    <col min="13571" max="13571" width="61.21875" style="19" customWidth="1"/>
    <col min="13572" max="13573" width="15.77734375" style="19" customWidth="1"/>
    <col min="13574" max="13574" width="76.21875" style="19" customWidth="1"/>
    <col min="13575" max="13575" width="8.77734375" style="19"/>
    <col min="13576" max="13576" width="9.77734375" style="19" bestFit="1" customWidth="1"/>
    <col min="13577" max="13824" width="8.77734375" style="19"/>
    <col min="13825" max="13825" width="1.77734375" style="19" customWidth="1"/>
    <col min="13826" max="13826" width="0.77734375" style="19" customWidth="1"/>
    <col min="13827" max="13827" width="61.21875" style="19" customWidth="1"/>
    <col min="13828" max="13829" width="15.77734375" style="19" customWidth="1"/>
    <col min="13830" max="13830" width="76.21875" style="19" customWidth="1"/>
    <col min="13831" max="13831" width="8.77734375" style="19"/>
    <col min="13832" max="13832" width="9.77734375" style="19" bestFit="1" customWidth="1"/>
    <col min="13833" max="14080" width="8.77734375" style="19"/>
    <col min="14081" max="14081" width="1.77734375" style="19" customWidth="1"/>
    <col min="14082" max="14082" width="0.77734375" style="19" customWidth="1"/>
    <col min="14083" max="14083" width="61.21875" style="19" customWidth="1"/>
    <col min="14084" max="14085" width="15.77734375" style="19" customWidth="1"/>
    <col min="14086" max="14086" width="76.21875" style="19" customWidth="1"/>
    <col min="14087" max="14087" width="8.77734375" style="19"/>
    <col min="14088" max="14088" width="9.77734375" style="19" bestFit="1" customWidth="1"/>
    <col min="14089" max="14336" width="8.77734375" style="19"/>
    <col min="14337" max="14337" width="1.77734375" style="19" customWidth="1"/>
    <col min="14338" max="14338" width="0.77734375" style="19" customWidth="1"/>
    <col min="14339" max="14339" width="61.21875" style="19" customWidth="1"/>
    <col min="14340" max="14341" width="15.77734375" style="19" customWidth="1"/>
    <col min="14342" max="14342" width="76.21875" style="19" customWidth="1"/>
    <col min="14343" max="14343" width="8.77734375" style="19"/>
    <col min="14344" max="14344" width="9.77734375" style="19" bestFit="1" customWidth="1"/>
    <col min="14345" max="14592" width="8.77734375" style="19"/>
    <col min="14593" max="14593" width="1.77734375" style="19" customWidth="1"/>
    <col min="14594" max="14594" width="0.77734375" style="19" customWidth="1"/>
    <col min="14595" max="14595" width="61.21875" style="19" customWidth="1"/>
    <col min="14596" max="14597" width="15.77734375" style="19" customWidth="1"/>
    <col min="14598" max="14598" width="76.21875" style="19" customWidth="1"/>
    <col min="14599" max="14599" width="8.77734375" style="19"/>
    <col min="14600" max="14600" width="9.77734375" style="19" bestFit="1" customWidth="1"/>
    <col min="14601" max="14848" width="8.77734375" style="19"/>
    <col min="14849" max="14849" width="1.77734375" style="19" customWidth="1"/>
    <col min="14850" max="14850" width="0.77734375" style="19" customWidth="1"/>
    <col min="14851" max="14851" width="61.21875" style="19" customWidth="1"/>
    <col min="14852" max="14853" width="15.77734375" style="19" customWidth="1"/>
    <col min="14854" max="14854" width="76.21875" style="19" customWidth="1"/>
    <col min="14855" max="14855" width="8.77734375" style="19"/>
    <col min="14856" max="14856" width="9.77734375" style="19" bestFit="1" customWidth="1"/>
    <col min="14857" max="15104" width="8.77734375" style="19"/>
    <col min="15105" max="15105" width="1.77734375" style="19" customWidth="1"/>
    <col min="15106" max="15106" width="0.77734375" style="19" customWidth="1"/>
    <col min="15107" max="15107" width="61.21875" style="19" customWidth="1"/>
    <col min="15108" max="15109" width="15.77734375" style="19" customWidth="1"/>
    <col min="15110" max="15110" width="76.21875" style="19" customWidth="1"/>
    <col min="15111" max="15111" width="8.77734375" style="19"/>
    <col min="15112" max="15112" width="9.77734375" style="19" bestFit="1" customWidth="1"/>
    <col min="15113" max="15360" width="8.77734375" style="19"/>
    <col min="15361" max="15361" width="1.77734375" style="19" customWidth="1"/>
    <col min="15362" max="15362" width="0.77734375" style="19" customWidth="1"/>
    <col min="15363" max="15363" width="61.21875" style="19" customWidth="1"/>
    <col min="15364" max="15365" width="15.77734375" style="19" customWidth="1"/>
    <col min="15366" max="15366" width="76.21875" style="19" customWidth="1"/>
    <col min="15367" max="15367" width="8.77734375" style="19"/>
    <col min="15368" max="15368" width="9.77734375" style="19" bestFit="1" customWidth="1"/>
    <col min="15369" max="15616" width="8.77734375" style="19"/>
    <col min="15617" max="15617" width="1.77734375" style="19" customWidth="1"/>
    <col min="15618" max="15618" width="0.77734375" style="19" customWidth="1"/>
    <col min="15619" max="15619" width="61.21875" style="19" customWidth="1"/>
    <col min="15620" max="15621" width="15.77734375" style="19" customWidth="1"/>
    <col min="15622" max="15622" width="76.21875" style="19" customWidth="1"/>
    <col min="15623" max="15623" width="8.77734375" style="19"/>
    <col min="15624" max="15624" width="9.77734375" style="19" bestFit="1" customWidth="1"/>
    <col min="15625" max="15872" width="8.77734375" style="19"/>
    <col min="15873" max="15873" width="1.77734375" style="19" customWidth="1"/>
    <col min="15874" max="15874" width="0.77734375" style="19" customWidth="1"/>
    <col min="15875" max="15875" width="61.21875" style="19" customWidth="1"/>
    <col min="15876" max="15877" width="15.77734375" style="19" customWidth="1"/>
    <col min="15878" max="15878" width="76.21875" style="19" customWidth="1"/>
    <col min="15879" max="15879" width="8.77734375" style="19"/>
    <col min="15880" max="15880" width="9.77734375" style="19" bestFit="1" customWidth="1"/>
    <col min="15881" max="16128" width="8.77734375" style="19"/>
    <col min="16129" max="16129" width="1.77734375" style="19" customWidth="1"/>
    <col min="16130" max="16130" width="0.77734375" style="19" customWidth="1"/>
    <col min="16131" max="16131" width="61.21875" style="19" customWidth="1"/>
    <col min="16132" max="16133" width="15.77734375" style="19" customWidth="1"/>
    <col min="16134" max="16134" width="76.21875" style="19" customWidth="1"/>
    <col min="16135" max="16135" width="8.77734375" style="19"/>
    <col min="16136" max="16136" width="9.77734375" style="19" bestFit="1" customWidth="1"/>
    <col min="16137" max="16384" width="8.77734375" style="19"/>
  </cols>
  <sheetData>
    <row r="1" spans="1:6" ht="31.05" customHeight="1">
      <c r="E1" s="20"/>
      <c r="F1" s="21"/>
    </row>
    <row r="2" spans="1:6" ht="31.05" customHeight="1">
      <c r="F2" s="22"/>
    </row>
    <row r="3" spans="1:6" ht="31.05" customHeight="1">
      <c r="F3" s="22"/>
    </row>
    <row r="4" spans="1:6" ht="31.05" customHeight="1">
      <c r="C4" s="23"/>
    </row>
    <row r="7" spans="1:6" ht="51" customHeight="1">
      <c r="A7" s="24"/>
      <c r="B7" s="25"/>
      <c r="C7" s="26" t="s">
        <v>0</v>
      </c>
      <c r="D7" s="27"/>
      <c r="E7" s="27"/>
      <c r="F7" s="27"/>
    </row>
    <row r="10" spans="1:6" ht="36.75" customHeight="1"/>
    <row r="13" spans="1:6" ht="31.05" customHeight="1">
      <c r="C13" s="20"/>
    </row>
    <row r="14" spans="1:6" ht="31.05" customHeight="1">
      <c r="C14" s="20"/>
    </row>
  </sheetData>
  <dataValidations count="1">
    <dataValidation type="date" allowBlank="1" showInputMessage="1" showErrorMessage="1" sqref="F1:F3 JB1:JB3 SX1:SX3 ACT1:ACT3 AMP1:AMP3 AWL1:AWL3 BGH1:BGH3 BQD1:BQD3 BZZ1:BZZ3 CJV1:CJV3 CTR1:CTR3 DDN1:DDN3 DNJ1:DNJ3 DXF1:DXF3 EHB1:EHB3 EQX1:EQX3 FAT1:FAT3 FKP1:FKP3 FUL1:FUL3 GEH1:GEH3 GOD1:GOD3 GXZ1:GXZ3 HHV1:HHV3 HRR1:HRR3 IBN1:IBN3 ILJ1:ILJ3 IVF1:IVF3 JFB1:JFB3 JOX1:JOX3 JYT1:JYT3 KIP1:KIP3 KSL1:KSL3 LCH1:LCH3 LMD1:LMD3 LVZ1:LVZ3 MFV1:MFV3 MPR1:MPR3 MZN1:MZN3 NJJ1:NJJ3 NTF1:NTF3 ODB1:ODB3 OMX1:OMX3 OWT1:OWT3 PGP1:PGP3 PQL1:PQL3 QAH1:QAH3 QKD1:QKD3 QTZ1:QTZ3 RDV1:RDV3 RNR1:RNR3 RXN1:RXN3 SHJ1:SHJ3 SRF1:SRF3 TBB1:TBB3 TKX1:TKX3 TUT1:TUT3 UEP1:UEP3 UOL1:UOL3 UYH1:UYH3 VID1:VID3 VRZ1:VRZ3 WBV1:WBV3 WLR1:WLR3 WVN1:WVN3 F65537:F65539 JB65537:JB65539 SX65537:SX65539 ACT65537:ACT65539 AMP65537:AMP65539 AWL65537:AWL65539 BGH65537:BGH65539 BQD65537:BQD65539 BZZ65537:BZZ65539 CJV65537:CJV65539 CTR65537:CTR65539 DDN65537:DDN65539 DNJ65537:DNJ65539 DXF65537:DXF65539 EHB65537:EHB65539 EQX65537:EQX65539 FAT65537:FAT65539 FKP65537:FKP65539 FUL65537:FUL65539 GEH65537:GEH65539 GOD65537:GOD65539 GXZ65537:GXZ65539 HHV65537:HHV65539 HRR65537:HRR65539 IBN65537:IBN65539 ILJ65537:ILJ65539 IVF65537:IVF65539 JFB65537:JFB65539 JOX65537:JOX65539 JYT65537:JYT65539 KIP65537:KIP65539 KSL65537:KSL65539 LCH65537:LCH65539 LMD65537:LMD65539 LVZ65537:LVZ65539 MFV65537:MFV65539 MPR65537:MPR65539 MZN65537:MZN65539 NJJ65537:NJJ65539 NTF65537:NTF65539 ODB65537:ODB65539 OMX65537:OMX65539 OWT65537:OWT65539 PGP65537:PGP65539 PQL65537:PQL65539 QAH65537:QAH65539 QKD65537:QKD65539 QTZ65537:QTZ65539 RDV65537:RDV65539 RNR65537:RNR65539 RXN65537:RXN65539 SHJ65537:SHJ65539 SRF65537:SRF65539 TBB65537:TBB65539 TKX65537:TKX65539 TUT65537:TUT65539 UEP65537:UEP65539 UOL65537:UOL65539 UYH65537:UYH65539 VID65537:VID65539 VRZ65537:VRZ65539 WBV65537:WBV65539 WLR65537:WLR65539 WVN65537:WVN65539 F131073:F131075 JB131073:JB131075 SX131073:SX131075 ACT131073:ACT131075 AMP131073:AMP131075 AWL131073:AWL131075 BGH131073:BGH131075 BQD131073:BQD131075 BZZ131073:BZZ131075 CJV131073:CJV131075 CTR131073:CTR131075 DDN131073:DDN131075 DNJ131073:DNJ131075 DXF131073:DXF131075 EHB131073:EHB131075 EQX131073:EQX131075 FAT131073:FAT131075 FKP131073:FKP131075 FUL131073:FUL131075 GEH131073:GEH131075 GOD131073:GOD131075 GXZ131073:GXZ131075 HHV131073:HHV131075 HRR131073:HRR131075 IBN131073:IBN131075 ILJ131073:ILJ131075 IVF131073:IVF131075 JFB131073:JFB131075 JOX131073:JOX131075 JYT131073:JYT131075 KIP131073:KIP131075 KSL131073:KSL131075 LCH131073:LCH131075 LMD131073:LMD131075 LVZ131073:LVZ131075 MFV131073:MFV131075 MPR131073:MPR131075 MZN131073:MZN131075 NJJ131073:NJJ131075 NTF131073:NTF131075 ODB131073:ODB131075 OMX131073:OMX131075 OWT131073:OWT131075 PGP131073:PGP131075 PQL131073:PQL131075 QAH131073:QAH131075 QKD131073:QKD131075 QTZ131073:QTZ131075 RDV131073:RDV131075 RNR131073:RNR131075 RXN131073:RXN131075 SHJ131073:SHJ131075 SRF131073:SRF131075 TBB131073:TBB131075 TKX131073:TKX131075 TUT131073:TUT131075 UEP131073:UEP131075 UOL131073:UOL131075 UYH131073:UYH131075 VID131073:VID131075 VRZ131073:VRZ131075 WBV131073:WBV131075 WLR131073:WLR131075 WVN131073:WVN131075 F196609:F196611 JB196609:JB196611 SX196609:SX196611 ACT196609:ACT196611 AMP196609:AMP196611 AWL196609:AWL196611 BGH196609:BGH196611 BQD196609:BQD196611 BZZ196609:BZZ196611 CJV196609:CJV196611 CTR196609:CTR196611 DDN196609:DDN196611 DNJ196609:DNJ196611 DXF196609:DXF196611 EHB196609:EHB196611 EQX196609:EQX196611 FAT196609:FAT196611 FKP196609:FKP196611 FUL196609:FUL196611 GEH196609:GEH196611 GOD196609:GOD196611 GXZ196609:GXZ196611 HHV196609:HHV196611 HRR196609:HRR196611 IBN196609:IBN196611 ILJ196609:ILJ196611 IVF196609:IVF196611 JFB196609:JFB196611 JOX196609:JOX196611 JYT196609:JYT196611 KIP196609:KIP196611 KSL196609:KSL196611 LCH196609:LCH196611 LMD196609:LMD196611 LVZ196609:LVZ196611 MFV196609:MFV196611 MPR196609:MPR196611 MZN196609:MZN196611 NJJ196609:NJJ196611 NTF196609:NTF196611 ODB196609:ODB196611 OMX196609:OMX196611 OWT196609:OWT196611 PGP196609:PGP196611 PQL196609:PQL196611 QAH196609:QAH196611 QKD196609:QKD196611 QTZ196609:QTZ196611 RDV196609:RDV196611 RNR196609:RNR196611 RXN196609:RXN196611 SHJ196609:SHJ196611 SRF196609:SRF196611 TBB196609:TBB196611 TKX196609:TKX196611 TUT196609:TUT196611 UEP196609:UEP196611 UOL196609:UOL196611 UYH196609:UYH196611 VID196609:VID196611 VRZ196609:VRZ196611 WBV196609:WBV196611 WLR196609:WLR196611 WVN196609:WVN196611 F262145:F262147 JB262145:JB262147 SX262145:SX262147 ACT262145:ACT262147 AMP262145:AMP262147 AWL262145:AWL262147 BGH262145:BGH262147 BQD262145:BQD262147 BZZ262145:BZZ262147 CJV262145:CJV262147 CTR262145:CTR262147 DDN262145:DDN262147 DNJ262145:DNJ262147 DXF262145:DXF262147 EHB262145:EHB262147 EQX262145:EQX262147 FAT262145:FAT262147 FKP262145:FKP262147 FUL262145:FUL262147 GEH262145:GEH262147 GOD262145:GOD262147 GXZ262145:GXZ262147 HHV262145:HHV262147 HRR262145:HRR262147 IBN262145:IBN262147 ILJ262145:ILJ262147 IVF262145:IVF262147 JFB262145:JFB262147 JOX262145:JOX262147 JYT262145:JYT262147 KIP262145:KIP262147 KSL262145:KSL262147 LCH262145:LCH262147 LMD262145:LMD262147 LVZ262145:LVZ262147 MFV262145:MFV262147 MPR262145:MPR262147 MZN262145:MZN262147 NJJ262145:NJJ262147 NTF262145:NTF262147 ODB262145:ODB262147 OMX262145:OMX262147 OWT262145:OWT262147 PGP262145:PGP262147 PQL262145:PQL262147 QAH262145:QAH262147 QKD262145:QKD262147 QTZ262145:QTZ262147 RDV262145:RDV262147 RNR262145:RNR262147 RXN262145:RXN262147 SHJ262145:SHJ262147 SRF262145:SRF262147 TBB262145:TBB262147 TKX262145:TKX262147 TUT262145:TUT262147 UEP262145:UEP262147 UOL262145:UOL262147 UYH262145:UYH262147 VID262145:VID262147 VRZ262145:VRZ262147 WBV262145:WBV262147 WLR262145:WLR262147 WVN262145:WVN262147 F327681:F327683 JB327681:JB327683 SX327681:SX327683 ACT327681:ACT327683 AMP327681:AMP327683 AWL327681:AWL327683 BGH327681:BGH327683 BQD327681:BQD327683 BZZ327681:BZZ327683 CJV327681:CJV327683 CTR327681:CTR327683 DDN327681:DDN327683 DNJ327681:DNJ327683 DXF327681:DXF327683 EHB327681:EHB327683 EQX327681:EQX327683 FAT327681:FAT327683 FKP327681:FKP327683 FUL327681:FUL327683 GEH327681:GEH327683 GOD327681:GOD327683 GXZ327681:GXZ327683 HHV327681:HHV327683 HRR327681:HRR327683 IBN327681:IBN327683 ILJ327681:ILJ327683 IVF327681:IVF327683 JFB327681:JFB327683 JOX327681:JOX327683 JYT327681:JYT327683 KIP327681:KIP327683 KSL327681:KSL327683 LCH327681:LCH327683 LMD327681:LMD327683 LVZ327681:LVZ327683 MFV327681:MFV327683 MPR327681:MPR327683 MZN327681:MZN327683 NJJ327681:NJJ327683 NTF327681:NTF327683 ODB327681:ODB327683 OMX327681:OMX327683 OWT327681:OWT327683 PGP327681:PGP327683 PQL327681:PQL327683 QAH327681:QAH327683 QKD327681:QKD327683 QTZ327681:QTZ327683 RDV327681:RDV327683 RNR327681:RNR327683 RXN327681:RXN327683 SHJ327681:SHJ327683 SRF327681:SRF327683 TBB327681:TBB327683 TKX327681:TKX327683 TUT327681:TUT327683 UEP327681:UEP327683 UOL327681:UOL327683 UYH327681:UYH327683 VID327681:VID327683 VRZ327681:VRZ327683 WBV327681:WBV327683 WLR327681:WLR327683 WVN327681:WVN327683 F393217:F393219 JB393217:JB393219 SX393217:SX393219 ACT393217:ACT393219 AMP393217:AMP393219 AWL393217:AWL393219 BGH393217:BGH393219 BQD393217:BQD393219 BZZ393217:BZZ393219 CJV393217:CJV393219 CTR393217:CTR393219 DDN393217:DDN393219 DNJ393217:DNJ393219 DXF393217:DXF393219 EHB393217:EHB393219 EQX393217:EQX393219 FAT393217:FAT393219 FKP393217:FKP393219 FUL393217:FUL393219 GEH393217:GEH393219 GOD393217:GOD393219 GXZ393217:GXZ393219 HHV393217:HHV393219 HRR393217:HRR393219 IBN393217:IBN393219 ILJ393217:ILJ393219 IVF393217:IVF393219 JFB393217:JFB393219 JOX393217:JOX393219 JYT393217:JYT393219 KIP393217:KIP393219 KSL393217:KSL393219 LCH393217:LCH393219 LMD393217:LMD393219 LVZ393217:LVZ393219 MFV393217:MFV393219 MPR393217:MPR393219 MZN393217:MZN393219 NJJ393217:NJJ393219 NTF393217:NTF393219 ODB393217:ODB393219 OMX393217:OMX393219 OWT393217:OWT393219 PGP393217:PGP393219 PQL393217:PQL393219 QAH393217:QAH393219 QKD393217:QKD393219 QTZ393217:QTZ393219 RDV393217:RDV393219 RNR393217:RNR393219 RXN393217:RXN393219 SHJ393217:SHJ393219 SRF393217:SRF393219 TBB393217:TBB393219 TKX393217:TKX393219 TUT393217:TUT393219 UEP393217:UEP393219 UOL393217:UOL393219 UYH393217:UYH393219 VID393217:VID393219 VRZ393217:VRZ393219 WBV393217:WBV393219 WLR393217:WLR393219 WVN393217:WVN393219 F458753:F458755 JB458753:JB458755 SX458753:SX458755 ACT458753:ACT458755 AMP458753:AMP458755 AWL458753:AWL458755 BGH458753:BGH458755 BQD458753:BQD458755 BZZ458753:BZZ458755 CJV458753:CJV458755 CTR458753:CTR458755 DDN458753:DDN458755 DNJ458753:DNJ458755 DXF458753:DXF458755 EHB458753:EHB458755 EQX458753:EQX458755 FAT458753:FAT458755 FKP458753:FKP458755 FUL458753:FUL458755 GEH458753:GEH458755 GOD458753:GOD458755 GXZ458753:GXZ458755 HHV458753:HHV458755 HRR458753:HRR458755 IBN458753:IBN458755 ILJ458753:ILJ458755 IVF458753:IVF458755 JFB458753:JFB458755 JOX458753:JOX458755 JYT458753:JYT458755 KIP458753:KIP458755 KSL458753:KSL458755 LCH458753:LCH458755 LMD458753:LMD458755 LVZ458753:LVZ458755 MFV458753:MFV458755 MPR458753:MPR458755 MZN458753:MZN458755 NJJ458753:NJJ458755 NTF458753:NTF458755 ODB458753:ODB458755 OMX458753:OMX458755 OWT458753:OWT458755 PGP458753:PGP458755 PQL458753:PQL458755 QAH458753:QAH458755 QKD458753:QKD458755 QTZ458753:QTZ458755 RDV458753:RDV458755 RNR458753:RNR458755 RXN458753:RXN458755 SHJ458753:SHJ458755 SRF458753:SRF458755 TBB458753:TBB458755 TKX458753:TKX458755 TUT458753:TUT458755 UEP458753:UEP458755 UOL458753:UOL458755 UYH458753:UYH458755 VID458753:VID458755 VRZ458753:VRZ458755 WBV458753:WBV458755 WLR458753:WLR458755 WVN458753:WVN458755 F524289:F524291 JB524289:JB524291 SX524289:SX524291 ACT524289:ACT524291 AMP524289:AMP524291 AWL524289:AWL524291 BGH524289:BGH524291 BQD524289:BQD524291 BZZ524289:BZZ524291 CJV524289:CJV524291 CTR524289:CTR524291 DDN524289:DDN524291 DNJ524289:DNJ524291 DXF524289:DXF524291 EHB524289:EHB524291 EQX524289:EQX524291 FAT524289:FAT524291 FKP524289:FKP524291 FUL524289:FUL524291 GEH524289:GEH524291 GOD524289:GOD524291 GXZ524289:GXZ524291 HHV524289:HHV524291 HRR524289:HRR524291 IBN524289:IBN524291 ILJ524289:ILJ524291 IVF524289:IVF524291 JFB524289:JFB524291 JOX524289:JOX524291 JYT524289:JYT524291 KIP524289:KIP524291 KSL524289:KSL524291 LCH524289:LCH524291 LMD524289:LMD524291 LVZ524289:LVZ524291 MFV524289:MFV524291 MPR524289:MPR524291 MZN524289:MZN524291 NJJ524289:NJJ524291 NTF524289:NTF524291 ODB524289:ODB524291 OMX524289:OMX524291 OWT524289:OWT524291 PGP524289:PGP524291 PQL524289:PQL524291 QAH524289:QAH524291 QKD524289:QKD524291 QTZ524289:QTZ524291 RDV524289:RDV524291 RNR524289:RNR524291 RXN524289:RXN524291 SHJ524289:SHJ524291 SRF524289:SRF524291 TBB524289:TBB524291 TKX524289:TKX524291 TUT524289:TUT524291 UEP524289:UEP524291 UOL524289:UOL524291 UYH524289:UYH524291 VID524289:VID524291 VRZ524289:VRZ524291 WBV524289:WBV524291 WLR524289:WLR524291 WVN524289:WVN524291 F589825:F589827 JB589825:JB589827 SX589825:SX589827 ACT589825:ACT589827 AMP589825:AMP589827 AWL589825:AWL589827 BGH589825:BGH589827 BQD589825:BQD589827 BZZ589825:BZZ589827 CJV589825:CJV589827 CTR589825:CTR589827 DDN589825:DDN589827 DNJ589825:DNJ589827 DXF589825:DXF589827 EHB589825:EHB589827 EQX589825:EQX589827 FAT589825:FAT589827 FKP589825:FKP589827 FUL589825:FUL589827 GEH589825:GEH589827 GOD589825:GOD589827 GXZ589825:GXZ589827 HHV589825:HHV589827 HRR589825:HRR589827 IBN589825:IBN589827 ILJ589825:ILJ589827 IVF589825:IVF589827 JFB589825:JFB589827 JOX589825:JOX589827 JYT589825:JYT589827 KIP589825:KIP589827 KSL589825:KSL589827 LCH589825:LCH589827 LMD589825:LMD589827 LVZ589825:LVZ589827 MFV589825:MFV589827 MPR589825:MPR589827 MZN589825:MZN589827 NJJ589825:NJJ589827 NTF589825:NTF589827 ODB589825:ODB589827 OMX589825:OMX589827 OWT589825:OWT589827 PGP589825:PGP589827 PQL589825:PQL589827 QAH589825:QAH589827 QKD589825:QKD589827 QTZ589825:QTZ589827 RDV589825:RDV589827 RNR589825:RNR589827 RXN589825:RXN589827 SHJ589825:SHJ589827 SRF589825:SRF589827 TBB589825:TBB589827 TKX589825:TKX589827 TUT589825:TUT589827 UEP589825:UEP589827 UOL589825:UOL589827 UYH589825:UYH589827 VID589825:VID589827 VRZ589825:VRZ589827 WBV589825:WBV589827 WLR589825:WLR589827 WVN589825:WVN589827 F655361:F655363 JB655361:JB655363 SX655361:SX655363 ACT655361:ACT655363 AMP655361:AMP655363 AWL655361:AWL655363 BGH655361:BGH655363 BQD655361:BQD655363 BZZ655361:BZZ655363 CJV655361:CJV655363 CTR655361:CTR655363 DDN655361:DDN655363 DNJ655361:DNJ655363 DXF655361:DXF655363 EHB655361:EHB655363 EQX655361:EQX655363 FAT655361:FAT655363 FKP655361:FKP655363 FUL655361:FUL655363 GEH655361:GEH655363 GOD655361:GOD655363 GXZ655361:GXZ655363 HHV655361:HHV655363 HRR655361:HRR655363 IBN655361:IBN655363 ILJ655361:ILJ655363 IVF655361:IVF655363 JFB655361:JFB655363 JOX655361:JOX655363 JYT655361:JYT655363 KIP655361:KIP655363 KSL655361:KSL655363 LCH655361:LCH655363 LMD655361:LMD655363 LVZ655361:LVZ655363 MFV655361:MFV655363 MPR655361:MPR655363 MZN655361:MZN655363 NJJ655361:NJJ655363 NTF655361:NTF655363 ODB655361:ODB655363 OMX655361:OMX655363 OWT655361:OWT655363 PGP655361:PGP655363 PQL655361:PQL655363 QAH655361:QAH655363 QKD655361:QKD655363 QTZ655361:QTZ655363 RDV655361:RDV655363 RNR655361:RNR655363 RXN655361:RXN655363 SHJ655361:SHJ655363 SRF655361:SRF655363 TBB655361:TBB655363 TKX655361:TKX655363 TUT655361:TUT655363 UEP655361:UEP655363 UOL655361:UOL655363 UYH655361:UYH655363 VID655361:VID655363 VRZ655361:VRZ655363 WBV655361:WBV655363 WLR655361:WLR655363 WVN655361:WVN655363 F720897:F720899 JB720897:JB720899 SX720897:SX720899 ACT720897:ACT720899 AMP720897:AMP720899 AWL720897:AWL720899 BGH720897:BGH720899 BQD720897:BQD720899 BZZ720897:BZZ720899 CJV720897:CJV720899 CTR720897:CTR720899 DDN720897:DDN720899 DNJ720897:DNJ720899 DXF720897:DXF720899 EHB720897:EHB720899 EQX720897:EQX720899 FAT720897:FAT720899 FKP720897:FKP720899 FUL720897:FUL720899 GEH720897:GEH720899 GOD720897:GOD720899 GXZ720897:GXZ720899 HHV720897:HHV720899 HRR720897:HRR720899 IBN720897:IBN720899 ILJ720897:ILJ720899 IVF720897:IVF720899 JFB720897:JFB720899 JOX720897:JOX720899 JYT720897:JYT720899 KIP720897:KIP720899 KSL720897:KSL720899 LCH720897:LCH720899 LMD720897:LMD720899 LVZ720897:LVZ720899 MFV720897:MFV720899 MPR720897:MPR720899 MZN720897:MZN720899 NJJ720897:NJJ720899 NTF720897:NTF720899 ODB720897:ODB720899 OMX720897:OMX720899 OWT720897:OWT720899 PGP720897:PGP720899 PQL720897:PQL720899 QAH720897:QAH720899 QKD720897:QKD720899 QTZ720897:QTZ720899 RDV720897:RDV720899 RNR720897:RNR720899 RXN720897:RXN720899 SHJ720897:SHJ720899 SRF720897:SRF720899 TBB720897:TBB720899 TKX720897:TKX720899 TUT720897:TUT720899 UEP720897:UEP720899 UOL720897:UOL720899 UYH720897:UYH720899 VID720897:VID720899 VRZ720897:VRZ720899 WBV720897:WBV720899 WLR720897:WLR720899 WVN720897:WVN720899 F786433:F786435 JB786433:JB786435 SX786433:SX786435 ACT786433:ACT786435 AMP786433:AMP786435 AWL786433:AWL786435 BGH786433:BGH786435 BQD786433:BQD786435 BZZ786433:BZZ786435 CJV786433:CJV786435 CTR786433:CTR786435 DDN786433:DDN786435 DNJ786433:DNJ786435 DXF786433:DXF786435 EHB786433:EHB786435 EQX786433:EQX786435 FAT786433:FAT786435 FKP786433:FKP786435 FUL786433:FUL786435 GEH786433:GEH786435 GOD786433:GOD786435 GXZ786433:GXZ786435 HHV786433:HHV786435 HRR786433:HRR786435 IBN786433:IBN786435 ILJ786433:ILJ786435 IVF786433:IVF786435 JFB786433:JFB786435 JOX786433:JOX786435 JYT786433:JYT786435 KIP786433:KIP786435 KSL786433:KSL786435 LCH786433:LCH786435 LMD786433:LMD786435 LVZ786433:LVZ786435 MFV786433:MFV786435 MPR786433:MPR786435 MZN786433:MZN786435 NJJ786433:NJJ786435 NTF786433:NTF786435 ODB786433:ODB786435 OMX786433:OMX786435 OWT786433:OWT786435 PGP786433:PGP786435 PQL786433:PQL786435 QAH786433:QAH786435 QKD786433:QKD786435 QTZ786433:QTZ786435 RDV786433:RDV786435 RNR786433:RNR786435 RXN786433:RXN786435 SHJ786433:SHJ786435 SRF786433:SRF786435 TBB786433:TBB786435 TKX786433:TKX786435 TUT786433:TUT786435 UEP786433:UEP786435 UOL786433:UOL786435 UYH786433:UYH786435 VID786433:VID786435 VRZ786433:VRZ786435 WBV786433:WBV786435 WLR786433:WLR786435 WVN786433:WVN786435 F851969:F851971 JB851969:JB851971 SX851969:SX851971 ACT851969:ACT851971 AMP851969:AMP851971 AWL851969:AWL851971 BGH851969:BGH851971 BQD851969:BQD851971 BZZ851969:BZZ851971 CJV851969:CJV851971 CTR851969:CTR851971 DDN851969:DDN851971 DNJ851969:DNJ851971 DXF851969:DXF851971 EHB851969:EHB851971 EQX851969:EQX851971 FAT851969:FAT851971 FKP851969:FKP851971 FUL851969:FUL851971 GEH851969:GEH851971 GOD851969:GOD851971 GXZ851969:GXZ851971 HHV851969:HHV851971 HRR851969:HRR851971 IBN851969:IBN851971 ILJ851969:ILJ851971 IVF851969:IVF851971 JFB851969:JFB851971 JOX851969:JOX851971 JYT851969:JYT851971 KIP851969:KIP851971 KSL851969:KSL851971 LCH851969:LCH851971 LMD851969:LMD851971 LVZ851969:LVZ851971 MFV851969:MFV851971 MPR851969:MPR851971 MZN851969:MZN851971 NJJ851969:NJJ851971 NTF851969:NTF851971 ODB851969:ODB851971 OMX851969:OMX851971 OWT851969:OWT851971 PGP851969:PGP851971 PQL851969:PQL851971 QAH851969:QAH851971 QKD851969:QKD851971 QTZ851969:QTZ851971 RDV851969:RDV851971 RNR851969:RNR851971 RXN851969:RXN851971 SHJ851969:SHJ851971 SRF851969:SRF851971 TBB851969:TBB851971 TKX851969:TKX851971 TUT851969:TUT851971 UEP851969:UEP851971 UOL851969:UOL851971 UYH851969:UYH851971 VID851969:VID851971 VRZ851969:VRZ851971 WBV851969:WBV851971 WLR851969:WLR851971 WVN851969:WVN851971 F917505:F917507 JB917505:JB917507 SX917505:SX917507 ACT917505:ACT917507 AMP917505:AMP917507 AWL917505:AWL917507 BGH917505:BGH917507 BQD917505:BQD917507 BZZ917505:BZZ917507 CJV917505:CJV917507 CTR917505:CTR917507 DDN917505:DDN917507 DNJ917505:DNJ917507 DXF917505:DXF917507 EHB917505:EHB917507 EQX917505:EQX917507 FAT917505:FAT917507 FKP917505:FKP917507 FUL917505:FUL917507 GEH917505:GEH917507 GOD917505:GOD917507 GXZ917505:GXZ917507 HHV917505:HHV917507 HRR917505:HRR917507 IBN917505:IBN917507 ILJ917505:ILJ917507 IVF917505:IVF917507 JFB917505:JFB917507 JOX917505:JOX917507 JYT917505:JYT917507 KIP917505:KIP917507 KSL917505:KSL917507 LCH917505:LCH917507 LMD917505:LMD917507 LVZ917505:LVZ917507 MFV917505:MFV917507 MPR917505:MPR917507 MZN917505:MZN917507 NJJ917505:NJJ917507 NTF917505:NTF917507 ODB917505:ODB917507 OMX917505:OMX917507 OWT917505:OWT917507 PGP917505:PGP917507 PQL917505:PQL917507 QAH917505:QAH917507 QKD917505:QKD917507 QTZ917505:QTZ917507 RDV917505:RDV917507 RNR917505:RNR917507 RXN917505:RXN917507 SHJ917505:SHJ917507 SRF917505:SRF917507 TBB917505:TBB917507 TKX917505:TKX917507 TUT917505:TUT917507 UEP917505:UEP917507 UOL917505:UOL917507 UYH917505:UYH917507 VID917505:VID917507 VRZ917505:VRZ917507 WBV917505:WBV917507 WLR917505:WLR917507 WVN917505:WVN917507 F983041:F983043 JB983041:JB983043 SX983041:SX983043 ACT983041:ACT983043 AMP983041:AMP983043 AWL983041:AWL983043 BGH983041:BGH983043 BQD983041:BQD983043 BZZ983041:BZZ983043 CJV983041:CJV983043 CTR983041:CTR983043 DDN983041:DDN983043 DNJ983041:DNJ983043 DXF983041:DXF983043 EHB983041:EHB983043 EQX983041:EQX983043 FAT983041:FAT983043 FKP983041:FKP983043 FUL983041:FUL983043 GEH983041:GEH983043 GOD983041:GOD983043 GXZ983041:GXZ983043 HHV983041:HHV983043 HRR983041:HRR983043 IBN983041:IBN983043 ILJ983041:ILJ983043 IVF983041:IVF983043 JFB983041:JFB983043 JOX983041:JOX983043 JYT983041:JYT983043 KIP983041:KIP983043 KSL983041:KSL983043 LCH983041:LCH983043 LMD983041:LMD983043 LVZ983041:LVZ983043 MFV983041:MFV983043 MPR983041:MPR983043 MZN983041:MZN983043 NJJ983041:NJJ983043 NTF983041:NTF983043 ODB983041:ODB983043 OMX983041:OMX983043 OWT983041:OWT983043 PGP983041:PGP983043 PQL983041:PQL983043 QAH983041:QAH983043 QKD983041:QKD983043 QTZ983041:QTZ983043 RDV983041:RDV983043 RNR983041:RNR983043 RXN983041:RXN983043 SHJ983041:SHJ983043 SRF983041:SRF983043 TBB983041:TBB983043 TKX983041:TKX983043 TUT983041:TUT983043 UEP983041:UEP983043 UOL983041:UOL983043 UYH983041:UYH983043 VID983041:VID983043 VRZ983041:VRZ983043 WBV983041:WBV983043 WLR983041:WLR983043 WVN983041:WVN983043" xr:uid="{E2867114-2D11-4B33-BCED-31B38FAA9D7A}">
      <formula1>10105</formula1>
      <formula2>10105</formula2>
    </dataValidation>
  </dataValidations>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7585-6FAC-4D2A-ABAB-CC1B96742AF9}">
  <dimension ref="B1:M67"/>
  <sheetViews>
    <sheetView workbookViewId="0"/>
  </sheetViews>
  <sheetFormatPr defaultRowHeight="14.4"/>
  <cols>
    <col min="2" max="2" width="1.88671875" bestFit="1" customWidth="1"/>
    <col min="3" max="3" width="26.77734375" bestFit="1" customWidth="1"/>
    <col min="17" max="17" width="10.33203125" bestFit="1" customWidth="1"/>
  </cols>
  <sheetData>
    <row r="1" spans="2:13" ht="15" thickBot="1"/>
    <row r="2" spans="2:13" ht="15" thickBot="1">
      <c r="C2" s="128" t="s">
        <v>239</v>
      </c>
      <c r="D2" s="126">
        <v>1</v>
      </c>
      <c r="E2" s="127" t="str">
        <f>IF(D2=1,C12,IF(D2=2,C13,IF(D2=3,C14,"NA")))</f>
        <v>Base Case</v>
      </c>
    </row>
    <row r="5" spans="2:13">
      <c r="G5" s="152" t="s">
        <v>6</v>
      </c>
      <c r="H5" s="152"/>
      <c r="I5" s="152"/>
      <c r="J5" s="152"/>
      <c r="K5" s="152"/>
    </row>
    <row r="6" spans="2:13">
      <c r="B6" t="s">
        <v>1</v>
      </c>
      <c r="C6" s="5" t="s">
        <v>202</v>
      </c>
      <c r="D6" s="153" t="s">
        <v>2</v>
      </c>
      <c r="E6" s="153"/>
      <c r="F6" s="153"/>
      <c r="G6" s="153"/>
      <c r="H6" s="153"/>
      <c r="I6" s="153"/>
      <c r="J6" s="153"/>
      <c r="K6" s="153"/>
    </row>
    <row r="7" spans="2:13">
      <c r="D7" s="61">
        <v>2023</v>
      </c>
      <c r="E7" s="62">
        <f>D7+1</f>
        <v>2024</v>
      </c>
      <c r="F7" s="62">
        <f>E7+1</f>
        <v>2025</v>
      </c>
      <c r="G7" s="55">
        <f t="shared" ref="G7:K7" si="0">F7+1</f>
        <v>2026</v>
      </c>
      <c r="H7" s="55">
        <f t="shared" si="0"/>
        <v>2027</v>
      </c>
      <c r="I7" s="55">
        <f t="shared" si="0"/>
        <v>2028</v>
      </c>
      <c r="J7" s="55">
        <f t="shared" si="0"/>
        <v>2029</v>
      </c>
      <c r="K7" s="55">
        <f t="shared" si="0"/>
        <v>2030</v>
      </c>
    </row>
    <row r="9" spans="2:13">
      <c r="C9" s="1" t="s">
        <v>5</v>
      </c>
      <c r="G9" s="113"/>
      <c r="H9" s="113"/>
      <c r="I9" s="113"/>
      <c r="J9" s="113"/>
      <c r="K9" s="113"/>
    </row>
    <row r="10" spans="2:13">
      <c r="C10" s="1"/>
      <c r="G10" s="113"/>
      <c r="H10" s="113"/>
      <c r="I10" s="113"/>
      <c r="J10" s="113"/>
      <c r="K10" s="113"/>
    </row>
    <row r="11" spans="2:13">
      <c r="C11" t="s">
        <v>241</v>
      </c>
      <c r="G11" s="124">
        <f>CHOOSE($D$2,G12,G13,G14)</f>
        <v>6.2848159781537238E-2</v>
      </c>
      <c r="H11" s="124">
        <f>CHOOSE($D$2,H12,H13,H14)</f>
        <v>6.2848159781537238E-2</v>
      </c>
      <c r="I11" s="124">
        <f>CHOOSE($D$2,I12,I13,I14)</f>
        <v>6.2848159781537238E-2</v>
      </c>
      <c r="J11" s="124">
        <f>CHOOSE($D$2,J12,J13,J14)</f>
        <v>6.2848159781537238E-2</v>
      </c>
      <c r="K11" s="124">
        <f>CHOOSE($D$2,K12,K13,K14)</f>
        <v>6.2848159781537238E-2</v>
      </c>
      <c r="L11" s="17"/>
    </row>
    <row r="12" spans="2:13">
      <c r="C12" s="2" t="s">
        <v>236</v>
      </c>
      <c r="G12" s="113">
        <v>6.2848159781537238E-2</v>
      </c>
      <c r="H12" s="113">
        <v>6.2848159781537238E-2</v>
      </c>
      <c r="I12" s="113">
        <v>6.2848159781537238E-2</v>
      </c>
      <c r="J12" s="113">
        <v>6.2848159781537238E-2</v>
      </c>
      <c r="K12" s="113">
        <v>6.2848159781537238E-2</v>
      </c>
      <c r="M12" s="17"/>
    </row>
    <row r="13" spans="2:13">
      <c r="C13" s="2" t="s">
        <v>237</v>
      </c>
      <c r="G13" s="113">
        <v>0.08</v>
      </c>
      <c r="H13" s="113">
        <v>0.08</v>
      </c>
      <c r="I13" s="113">
        <v>0.08</v>
      </c>
      <c r="J13" s="113">
        <v>0.08</v>
      </c>
      <c r="K13" s="113">
        <v>0.08</v>
      </c>
      <c r="M13" s="17">
        <v>0.02</v>
      </c>
    </row>
    <row r="14" spans="2:13">
      <c r="C14" s="2" t="s">
        <v>238</v>
      </c>
      <c r="G14" s="113">
        <v>0.04</v>
      </c>
      <c r="H14" s="113">
        <v>0.04</v>
      </c>
      <c r="I14" s="113">
        <v>0.04</v>
      </c>
      <c r="J14" s="113">
        <v>0.04</v>
      </c>
      <c r="K14" s="113">
        <v>0.04</v>
      </c>
      <c r="M14" s="17">
        <v>-0.02</v>
      </c>
    </row>
    <row r="15" spans="2:13">
      <c r="G15" s="17"/>
      <c r="H15" s="17"/>
      <c r="I15" s="17"/>
      <c r="J15" s="17"/>
      <c r="K15" s="17"/>
    </row>
    <row r="16" spans="2:13">
      <c r="C16" t="s">
        <v>242</v>
      </c>
      <c r="G16" s="124">
        <f>CHOOSE($D$2,G17,G18,G19)</f>
        <v>0.14963858859149826</v>
      </c>
      <c r="H16" s="124">
        <f>CHOOSE($D$2,H17,H18,H19)</f>
        <v>0.14963858859149826</v>
      </c>
      <c r="I16" s="124">
        <f>CHOOSE($D$2,I17,I18,I19)</f>
        <v>0.14963858859149826</v>
      </c>
      <c r="J16" s="124">
        <f>CHOOSE($D$2,J17,J18,J19)</f>
        <v>0.14963858859149826</v>
      </c>
      <c r="K16" s="124">
        <f>CHOOSE($D$2,K17,K18,K19)</f>
        <v>0.14963858859149826</v>
      </c>
    </row>
    <row r="17" spans="3:13">
      <c r="C17" s="2" t="s">
        <v>236</v>
      </c>
      <c r="G17" s="113">
        <v>0.14963858859149826</v>
      </c>
      <c r="H17" s="113">
        <v>0.14963858859149826</v>
      </c>
      <c r="I17" s="113">
        <v>0.14963858859149826</v>
      </c>
      <c r="J17" s="113">
        <v>0.14963858859149826</v>
      </c>
      <c r="K17" s="113">
        <v>0.14963858859149826</v>
      </c>
    </row>
    <row r="18" spans="3:13">
      <c r="C18" s="2" t="s">
        <v>237</v>
      </c>
      <c r="G18" s="113">
        <v>0.18</v>
      </c>
      <c r="H18" s="113">
        <v>0.18</v>
      </c>
      <c r="I18" s="113">
        <v>0.18</v>
      </c>
      <c r="J18" s="113">
        <v>0.18</v>
      </c>
      <c r="K18" s="113">
        <v>0.18</v>
      </c>
      <c r="M18" s="17">
        <v>0.03</v>
      </c>
    </row>
    <row r="19" spans="3:13">
      <c r="C19" s="2" t="s">
        <v>238</v>
      </c>
      <c r="G19" s="113">
        <v>0.12</v>
      </c>
      <c r="H19" s="113">
        <v>0.12</v>
      </c>
      <c r="I19" s="113">
        <v>0.12</v>
      </c>
      <c r="J19" s="113">
        <v>0.12</v>
      </c>
      <c r="K19" s="113">
        <v>0.12</v>
      </c>
      <c r="M19" s="17">
        <v>-0.03</v>
      </c>
    </row>
    <row r="20" spans="3:13">
      <c r="G20" s="113"/>
      <c r="H20" s="113"/>
      <c r="I20" s="113"/>
      <c r="J20" s="113"/>
      <c r="K20" s="113"/>
    </row>
    <row r="21" spans="3:13">
      <c r="C21" s="1" t="s">
        <v>203</v>
      </c>
      <c r="G21" s="113"/>
      <c r="H21" s="113"/>
      <c r="I21" s="113"/>
      <c r="J21" s="113"/>
      <c r="K21" s="113"/>
    </row>
    <row r="22" spans="3:13">
      <c r="C22" t="s">
        <v>12</v>
      </c>
      <c r="G22" s="113">
        <v>-0.18526086011907794</v>
      </c>
      <c r="H22" s="113">
        <v>-0.18526086011907794</v>
      </c>
      <c r="I22" s="113">
        <v>-0.18526086011907794</v>
      </c>
      <c r="J22" s="113">
        <v>-0.18526086011907794</v>
      </c>
      <c r="K22" s="113">
        <v>-0.18526086011907794</v>
      </c>
    </row>
    <row r="23" spans="3:13">
      <c r="C23" t="s">
        <v>19</v>
      </c>
      <c r="G23" s="113">
        <v>-0.27915033784269588</v>
      </c>
      <c r="H23" s="113">
        <v>-0.27915033784269588</v>
      </c>
      <c r="I23" s="113">
        <v>-0.27915033784269588</v>
      </c>
      <c r="J23" s="113">
        <v>-0.27915033784269588</v>
      </c>
      <c r="K23" s="113">
        <v>-0.27915033784269588</v>
      </c>
    </row>
    <row r="24" spans="3:13">
      <c r="C24" t="s">
        <v>20</v>
      </c>
      <c r="G24" s="113">
        <v>-7.3276608419731645E-2</v>
      </c>
      <c r="H24" s="113">
        <v>-7.3276608419731645E-2</v>
      </c>
      <c r="I24" s="113">
        <v>-7.3276608419731645E-2</v>
      </c>
      <c r="J24" s="113">
        <v>-7.3276608419731645E-2</v>
      </c>
      <c r="K24" s="113">
        <v>-7.3276608419731645E-2</v>
      </c>
    </row>
    <row r="25" spans="3:13">
      <c r="C25" t="s">
        <v>21</v>
      </c>
      <c r="G25" s="113">
        <v>-6.808079935170884E-2</v>
      </c>
      <c r="H25" s="113">
        <v>-6.808079935170884E-2</v>
      </c>
      <c r="I25" s="113">
        <v>-6.808079935170884E-2</v>
      </c>
      <c r="J25" s="113">
        <v>-6.808079935170884E-2</v>
      </c>
      <c r="K25" s="113">
        <v>-6.808079935170884E-2</v>
      </c>
    </row>
    <row r="27" spans="3:13">
      <c r="C27" t="s">
        <v>101</v>
      </c>
      <c r="D27" s="113">
        <v>0.21</v>
      </c>
      <c r="E27" s="113">
        <v>0.21</v>
      </c>
      <c r="F27" s="113">
        <v>0.21</v>
      </c>
      <c r="G27" s="113">
        <v>0.21</v>
      </c>
      <c r="H27" s="113">
        <v>0.21</v>
      </c>
      <c r="I27" s="113">
        <v>0.21</v>
      </c>
      <c r="J27" s="113">
        <v>0.21</v>
      </c>
      <c r="K27" s="113">
        <v>0.21</v>
      </c>
    </row>
    <row r="29" spans="3:13">
      <c r="C29" s="1" t="s">
        <v>3</v>
      </c>
    </row>
    <row r="30" spans="3:13">
      <c r="C30" t="s">
        <v>113</v>
      </c>
      <c r="G30" s="113">
        <v>-0.34678005234716319</v>
      </c>
      <c r="H30" s="113">
        <v>-0.34678005234716319</v>
      </c>
      <c r="I30" s="113">
        <v>-0.34678005234716319</v>
      </c>
      <c r="J30" s="113">
        <v>-0.34678005234716319</v>
      </c>
      <c r="K30" s="113">
        <v>-0.34678005234716319</v>
      </c>
    </row>
    <row r="31" spans="3:13">
      <c r="C31" t="s">
        <v>204</v>
      </c>
      <c r="G31" s="113">
        <v>0.10422186471347682</v>
      </c>
      <c r="H31" s="113">
        <v>0.10422186471347682</v>
      </c>
      <c r="I31" s="113">
        <v>0.10422186471347682</v>
      </c>
      <c r="J31" s="113">
        <v>0.10422186471347682</v>
      </c>
      <c r="K31" s="113">
        <v>0.10422186471347682</v>
      </c>
    </row>
    <row r="32" spans="3:13">
      <c r="C32" t="s">
        <v>123</v>
      </c>
      <c r="D32" s="71">
        <v>161</v>
      </c>
      <c r="E32" s="71">
        <v>211</v>
      </c>
      <c r="F32" s="71">
        <v>615</v>
      </c>
      <c r="G32" s="71">
        <v>1259</v>
      </c>
      <c r="H32" s="71">
        <v>1162</v>
      </c>
      <c r="I32" s="71">
        <v>771</v>
      </c>
      <c r="J32" s="71">
        <v>39</v>
      </c>
      <c r="K32" s="71">
        <v>27</v>
      </c>
    </row>
    <row r="33" spans="3:11">
      <c r="C33" t="s">
        <v>125</v>
      </c>
      <c r="G33" s="71">
        <v>0</v>
      </c>
      <c r="H33" s="71">
        <v>0</v>
      </c>
      <c r="I33" s="71">
        <v>0</v>
      </c>
      <c r="J33" s="71">
        <v>0</v>
      </c>
      <c r="K33" s="71">
        <v>0</v>
      </c>
    </row>
    <row r="35" spans="3:11">
      <c r="C35" s="1" t="s">
        <v>4</v>
      </c>
    </row>
    <row r="36" spans="3:11">
      <c r="C36" t="s">
        <v>160</v>
      </c>
      <c r="D36" s="71"/>
      <c r="E36" s="104">
        <f>0.5*4</f>
        <v>2</v>
      </c>
      <c r="F36" s="104">
        <f>0.525*4</f>
        <v>2.1</v>
      </c>
      <c r="G36" s="10">
        <f>F36</f>
        <v>2.1</v>
      </c>
      <c r="H36" s="10">
        <f>G36</f>
        <v>2.1</v>
      </c>
      <c r="I36" s="10">
        <f>H36</f>
        <v>2.1</v>
      </c>
      <c r="J36" s="10">
        <f>I36</f>
        <v>2.1</v>
      </c>
      <c r="K36" s="10">
        <f>J36</f>
        <v>2.1</v>
      </c>
    </row>
    <row r="37" spans="3:11">
      <c r="C37" t="s">
        <v>161</v>
      </c>
      <c r="D37" s="71"/>
      <c r="E37" s="71">
        <f>2190+344</f>
        <v>2534</v>
      </c>
      <c r="F37" s="71">
        <f t="shared" ref="F37:K37" si="1">2187+343</f>
        <v>2530</v>
      </c>
      <c r="G37" s="10">
        <f t="shared" si="1"/>
        <v>2530</v>
      </c>
      <c r="H37" s="10">
        <f t="shared" si="1"/>
        <v>2530</v>
      </c>
      <c r="I37" s="10">
        <f t="shared" si="1"/>
        <v>2530</v>
      </c>
      <c r="J37" s="10">
        <f t="shared" si="1"/>
        <v>2530</v>
      </c>
      <c r="K37" s="10">
        <f t="shared" si="1"/>
        <v>2530</v>
      </c>
    </row>
    <row r="38" spans="3:11">
      <c r="C38" t="s">
        <v>153</v>
      </c>
      <c r="G38" s="10">
        <v>0</v>
      </c>
      <c r="H38" s="10">
        <v>0</v>
      </c>
      <c r="I38" s="10">
        <v>0</v>
      </c>
      <c r="J38" s="10">
        <v>0</v>
      </c>
      <c r="K38" s="10">
        <v>0</v>
      </c>
    </row>
    <row r="39" spans="3:11">
      <c r="C39" t="s">
        <v>154</v>
      </c>
      <c r="G39" s="10">
        <v>0</v>
      </c>
      <c r="H39" s="10">
        <v>0</v>
      </c>
      <c r="I39" s="10">
        <v>0</v>
      </c>
      <c r="J39" s="10">
        <v>0</v>
      </c>
      <c r="K39" s="10">
        <v>0</v>
      </c>
    </row>
    <row r="41" spans="3:11">
      <c r="C41" s="1" t="s">
        <v>205</v>
      </c>
    </row>
    <row r="42" spans="3:11">
      <c r="C42" t="s">
        <v>35</v>
      </c>
      <c r="G42" s="10">
        <v>0</v>
      </c>
      <c r="H42" s="10">
        <v>0</v>
      </c>
      <c r="I42" s="10">
        <v>0</v>
      </c>
      <c r="J42" s="10">
        <v>0</v>
      </c>
      <c r="K42" s="10">
        <v>0</v>
      </c>
    </row>
    <row r="43" spans="3:11">
      <c r="C43" t="s">
        <v>36</v>
      </c>
      <c r="G43" s="10">
        <v>7361</v>
      </c>
      <c r="H43" s="10">
        <v>7361</v>
      </c>
      <c r="I43" s="10">
        <v>7361</v>
      </c>
      <c r="J43" s="10">
        <v>7361</v>
      </c>
      <c r="K43" s="10">
        <v>7361</v>
      </c>
    </row>
    <row r="44" spans="3:11">
      <c r="C44" t="s">
        <v>212</v>
      </c>
      <c r="G44" s="10">
        <v>30729</v>
      </c>
      <c r="H44" s="10">
        <v>30729</v>
      </c>
      <c r="I44" s="10">
        <v>30729</v>
      </c>
      <c r="J44" s="10">
        <v>30729</v>
      </c>
      <c r="K44" s="10">
        <v>30729</v>
      </c>
    </row>
    <row r="45" spans="3:11">
      <c r="C45" t="s">
        <v>141</v>
      </c>
      <c r="D45" s="12">
        <v>365</v>
      </c>
      <c r="E45" s="12">
        <v>365</v>
      </c>
      <c r="F45" s="12">
        <v>365</v>
      </c>
      <c r="G45" s="12">
        <v>365</v>
      </c>
      <c r="H45" s="12">
        <v>365</v>
      </c>
      <c r="I45" s="12">
        <v>365</v>
      </c>
      <c r="J45" s="12">
        <v>365</v>
      </c>
      <c r="K45" s="12">
        <v>365</v>
      </c>
    </row>
    <row r="46" spans="3:11">
      <c r="C46" t="s">
        <v>138</v>
      </c>
      <c r="D46" s="43"/>
      <c r="E46" s="45">
        <f>Assumption!E45/WC!E21</f>
        <v>36.79155445863551</v>
      </c>
      <c r="F46" s="45">
        <f>Assumption!F45/WC!F21</f>
        <v>33.384988007921734</v>
      </c>
      <c r="G46" s="44">
        <v>35.088271233278618</v>
      </c>
      <c r="H46" s="44">
        <v>35.088271233278618</v>
      </c>
      <c r="I46" s="44">
        <v>35.088271233278618</v>
      </c>
      <c r="J46" s="44">
        <v>35.088271233278618</v>
      </c>
      <c r="K46" s="44">
        <v>35.088271233278618</v>
      </c>
    </row>
    <row r="47" spans="3:11">
      <c r="C47" t="s">
        <v>139</v>
      </c>
      <c r="D47" s="43"/>
      <c r="E47" s="117" t="str">
        <f>IFERROR(Assumption!E45/WC!E22,"n.a.")</f>
        <v>n.a.</v>
      </c>
      <c r="F47" s="117" t="str">
        <f>IFERROR(Assumption!F45/WC!F22,"n.a.")</f>
        <v>n.a.</v>
      </c>
      <c r="G47" s="119" t="s">
        <v>142</v>
      </c>
      <c r="H47" s="119" t="s">
        <v>142</v>
      </c>
      <c r="I47" s="119" t="s">
        <v>142</v>
      </c>
      <c r="J47" s="119" t="s">
        <v>142</v>
      </c>
      <c r="K47" s="119" t="s">
        <v>142</v>
      </c>
    </row>
    <row r="48" spans="3:11">
      <c r="C48" t="s">
        <v>140</v>
      </c>
      <c r="D48" s="43"/>
      <c r="E48" s="45">
        <f>Assumption!E45/WC!E24</f>
        <v>75.853585756440438</v>
      </c>
      <c r="F48" s="45">
        <f>Assumption!F45/WC!F24</f>
        <v>83.649827228749146</v>
      </c>
      <c r="G48" s="44">
        <v>79.751706492594792</v>
      </c>
      <c r="H48" s="44">
        <v>79.751706492594792</v>
      </c>
      <c r="I48" s="44">
        <v>79.751706492594792</v>
      </c>
      <c r="J48" s="44">
        <v>79.751706492594792</v>
      </c>
      <c r="K48" s="44">
        <v>79.751706492594792</v>
      </c>
    </row>
    <row r="50" spans="3:11">
      <c r="C50" s="1" t="s">
        <v>206</v>
      </c>
    </row>
    <row r="51" spans="3:11">
      <c r="C51" t="s">
        <v>165</v>
      </c>
      <c r="G51" s="71">
        <v>0</v>
      </c>
      <c r="H51" s="71">
        <v>0</v>
      </c>
      <c r="I51" s="71">
        <v>0</v>
      </c>
      <c r="J51" s="71">
        <v>0</v>
      </c>
      <c r="K51" s="71">
        <v>0</v>
      </c>
    </row>
    <row r="52" spans="3:11">
      <c r="C52" t="s">
        <v>166</v>
      </c>
      <c r="G52" s="71">
        <v>0</v>
      </c>
      <c r="H52" s="71">
        <v>-2750</v>
      </c>
      <c r="I52" s="71">
        <v>-1500</v>
      </c>
      <c r="J52" s="71">
        <v>-1000</v>
      </c>
      <c r="K52" s="71">
        <v>-5000</v>
      </c>
    </row>
    <row r="54" spans="3:11">
      <c r="C54" s="1" t="s">
        <v>207</v>
      </c>
    </row>
    <row r="55" spans="3:11">
      <c r="C55" t="s">
        <v>165</v>
      </c>
      <c r="G55" s="71">
        <v>0</v>
      </c>
      <c r="H55" s="71">
        <v>0</v>
      </c>
      <c r="I55" s="71">
        <v>0</v>
      </c>
      <c r="J55" s="71">
        <v>0</v>
      </c>
      <c r="K55" s="71">
        <v>0</v>
      </c>
    </row>
    <row r="56" spans="3:11">
      <c r="C56" t="s">
        <v>166</v>
      </c>
      <c r="G56" s="71">
        <v>0</v>
      </c>
      <c r="H56" s="71">
        <v>0</v>
      </c>
      <c r="I56" s="71">
        <v>0</v>
      </c>
      <c r="J56" s="71">
        <v>0</v>
      </c>
      <c r="K56" s="71">
        <v>0</v>
      </c>
    </row>
    <row r="58" spans="3:11">
      <c r="C58" s="1" t="s">
        <v>208</v>
      </c>
    </row>
    <row r="59" spans="3:11">
      <c r="C59" t="s">
        <v>165</v>
      </c>
      <c r="G59" s="84">
        <v>0</v>
      </c>
      <c r="H59" s="84">
        <v>0</v>
      </c>
      <c r="I59" s="84">
        <v>0</v>
      </c>
      <c r="J59" s="84">
        <v>0</v>
      </c>
      <c r="K59" s="84">
        <v>0</v>
      </c>
    </row>
    <row r="60" spans="3:11">
      <c r="C60" t="s">
        <v>166</v>
      </c>
      <c r="G60" s="84">
        <f>-3211+2213</f>
        <v>-998</v>
      </c>
      <c r="H60" s="84">
        <v>-3237</v>
      </c>
      <c r="I60" s="84">
        <v>-3057</v>
      </c>
      <c r="J60" s="84">
        <v>-2985</v>
      </c>
      <c r="K60" s="84">
        <v>-2621</v>
      </c>
    </row>
    <row r="62" spans="3:11">
      <c r="C62" s="1" t="s">
        <v>209</v>
      </c>
    </row>
    <row r="63" spans="3:11">
      <c r="C63" t="s">
        <v>165</v>
      </c>
      <c r="G63" s="84">
        <v>0</v>
      </c>
      <c r="H63" s="84">
        <v>0</v>
      </c>
      <c r="I63" s="84">
        <v>0</v>
      </c>
      <c r="J63" s="84">
        <v>0</v>
      </c>
      <c r="K63" s="84">
        <v>0</v>
      </c>
    </row>
    <row r="64" spans="3:11">
      <c r="C64" t="s">
        <v>166</v>
      </c>
      <c r="G64" s="84">
        <f>-2213</f>
        <v>-2213</v>
      </c>
      <c r="H64" s="84"/>
      <c r="I64" s="84"/>
      <c r="J64" s="84"/>
      <c r="K64" s="84"/>
    </row>
    <row r="66" spans="3:7">
      <c r="C66" t="s">
        <v>210</v>
      </c>
      <c r="G66" s="120">
        <v>1.4999999999999999E-2</v>
      </c>
    </row>
    <row r="67" spans="3:7">
      <c r="C67" t="s">
        <v>211</v>
      </c>
      <c r="G67" s="121">
        <f>Debt!R11/Debt!Q11</f>
        <v>4.8423728813559323E-2</v>
      </c>
    </row>
  </sheetData>
  <mergeCells count="2">
    <mergeCell ref="G5:K5"/>
    <mergeCell ref="D6:K6"/>
  </mergeCells>
  <dataValidations count="1">
    <dataValidation type="list" allowBlank="1" showInputMessage="1" showErrorMessage="1" sqref="D2" xr:uid="{6687F43B-0EF9-4EA8-B03E-D71A26034D6B}">
      <formula1>"1,2,3"</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8A0C02C-F605-40F0-AB47-EAAB27EBD960}">
            <xm:f>NOT(ISERROR(SEARCH($C$14,E2)))</xm:f>
            <xm:f>$C$14</xm:f>
            <x14:dxf>
              <fill>
                <patternFill>
                  <bgColor rgb="FFFF0000"/>
                </patternFill>
              </fill>
            </x14:dxf>
          </x14:cfRule>
          <x14:cfRule type="containsText" priority="2" operator="containsText" id="{5A9B1AF1-F5BB-42E0-8325-AD67C5CC9966}">
            <xm:f>NOT(ISERROR(SEARCH($C$13,E2)))</xm:f>
            <xm:f>$C$13</xm:f>
            <x14:dxf>
              <fill>
                <patternFill>
                  <bgColor rgb="FF92D050"/>
                </patternFill>
              </fill>
            </x14:dxf>
          </x14:cfRule>
          <x14:cfRule type="containsText" priority="3" operator="containsText" id="{ABD33A16-12CD-447A-ACAB-7048E241411E}">
            <xm:f>NOT(ISERROR(SEARCH($C$12,E2)))</xm:f>
            <xm:f>$C$12</xm:f>
            <x14:dxf>
              <fill>
                <patternFill>
                  <bgColor rgb="FFFFFF00"/>
                </patternFill>
              </fill>
            </x14:dxf>
          </x14:cfRule>
          <xm:sqref>E2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DAD1-7991-483E-9C78-B830B96DAC60}">
  <dimension ref="A1:Q139"/>
  <sheetViews>
    <sheetView zoomScale="106" zoomScaleNormal="100" workbookViewId="0">
      <pane xSplit="3" ySplit="4" topLeftCell="D5" activePane="bottomRight" state="frozen"/>
      <selection pane="topRight" activeCell="D1" sqref="D1"/>
      <selection pane="bottomLeft" activeCell="A5" sqref="A5"/>
      <selection pane="bottomRight"/>
    </sheetView>
  </sheetViews>
  <sheetFormatPr defaultRowHeight="14.4" outlineLevelRow="1"/>
  <cols>
    <col min="2" max="2" width="2.77734375" customWidth="1"/>
    <col min="3" max="3" width="44.77734375" bestFit="1" customWidth="1"/>
    <col min="4" max="6" width="11.5546875" bestFit="1" customWidth="1"/>
    <col min="7" max="7" width="11.33203125" customWidth="1"/>
    <col min="8" max="8" width="11" customWidth="1"/>
    <col min="9" max="11" width="11.5546875" bestFit="1" customWidth="1"/>
    <col min="13" max="13" width="9.44140625" bestFit="1" customWidth="1"/>
    <col min="14" max="14" width="9.5546875" bestFit="1" customWidth="1"/>
    <col min="15" max="15" width="28.21875" bestFit="1" customWidth="1"/>
    <col min="16" max="16" width="10.5546875" bestFit="1" customWidth="1"/>
  </cols>
  <sheetData>
    <row r="1" spans="1:17">
      <c r="D1">
        <v>2</v>
      </c>
      <c r="E1">
        <v>3</v>
      </c>
      <c r="F1">
        <v>4</v>
      </c>
      <c r="G1">
        <v>5</v>
      </c>
      <c r="H1">
        <v>6</v>
      </c>
      <c r="I1">
        <v>7</v>
      </c>
      <c r="J1">
        <v>8</v>
      </c>
      <c r="K1">
        <v>9</v>
      </c>
    </row>
    <row r="2" spans="1:17">
      <c r="C2" s="125" t="s">
        <v>240</v>
      </c>
      <c r="G2" s="152" t="s">
        <v>6</v>
      </c>
      <c r="H2" s="152"/>
      <c r="I2" s="152"/>
      <c r="J2" s="152"/>
      <c r="K2" s="152"/>
    </row>
    <row r="3" spans="1:17">
      <c r="B3" t="s">
        <v>1</v>
      </c>
      <c r="C3" s="5" t="s">
        <v>7</v>
      </c>
      <c r="D3" s="153" t="s">
        <v>2</v>
      </c>
      <c r="E3" s="153"/>
      <c r="F3" s="153"/>
      <c r="G3" s="153"/>
      <c r="H3" s="153"/>
      <c r="I3" s="153"/>
      <c r="J3" s="153"/>
      <c r="K3" s="153"/>
      <c r="M3" s="39"/>
      <c r="N3" t="s">
        <v>99</v>
      </c>
    </row>
    <row r="4" spans="1:17">
      <c r="D4" s="61">
        <v>2023</v>
      </c>
      <c r="E4" s="62">
        <f t="shared" ref="E4:K4" si="0">D4+1</f>
        <v>2024</v>
      </c>
      <c r="F4" s="62">
        <f t="shared" si="0"/>
        <v>2025</v>
      </c>
      <c r="G4" s="55">
        <f t="shared" si="0"/>
        <v>2026</v>
      </c>
      <c r="H4" s="55">
        <f t="shared" si="0"/>
        <v>2027</v>
      </c>
      <c r="I4" s="55">
        <f t="shared" si="0"/>
        <v>2028</v>
      </c>
      <c r="J4" s="55">
        <f t="shared" si="0"/>
        <v>2029</v>
      </c>
      <c r="K4" s="55">
        <f t="shared" si="0"/>
        <v>2030</v>
      </c>
      <c r="M4" s="40"/>
      <c r="N4" t="s">
        <v>100</v>
      </c>
    </row>
    <row r="5" spans="1:17">
      <c r="C5" t="s">
        <v>5</v>
      </c>
      <c r="D5" s="71">
        <v>134902</v>
      </c>
      <c r="E5" s="71">
        <v>164501</v>
      </c>
      <c r="F5" s="71">
        <v>200966</v>
      </c>
      <c r="G5" s="15">
        <f>Revenue!S12</f>
        <v>244418.23805109138</v>
      </c>
      <c r="H5" s="15">
        <f>Revenue!T12</f>
        <v>298652.50844330585</v>
      </c>
      <c r="I5" s="15">
        <f>Revenue!U12</f>
        <v>364920.88933573989</v>
      </c>
      <c r="J5" s="15">
        <f>Revenue!V12</f>
        <v>445893.64464978839</v>
      </c>
      <c r="K5" s="15">
        <f>Revenue!W12</f>
        <v>544833.54652835289</v>
      </c>
      <c r="M5" s="15"/>
      <c r="O5" s="54" t="s">
        <v>8</v>
      </c>
    </row>
    <row r="6" spans="1:17">
      <c r="C6" s="33" t="s">
        <v>9</v>
      </c>
      <c r="D6" s="16"/>
      <c r="E6" s="16">
        <f>E5/D5-1</f>
        <v>0.21941112807816054</v>
      </c>
      <c r="F6" s="16">
        <f>F5/E5-1</f>
        <v>0.22167038498246217</v>
      </c>
      <c r="M6" s="15"/>
      <c r="O6" s="52" t="s">
        <v>10</v>
      </c>
      <c r="P6" t="s">
        <v>11</v>
      </c>
    </row>
    <row r="7" spans="1:17">
      <c r="C7" t="s">
        <v>12</v>
      </c>
      <c r="D7" s="71">
        <v>-25959</v>
      </c>
      <c r="E7" s="71">
        <v>-30161</v>
      </c>
      <c r="F7" s="71">
        <v>-36175</v>
      </c>
      <c r="G7" s="51">
        <f>Assumption!G22*G5</f>
        <v>-45281.133010134734</v>
      </c>
      <c r="H7" s="51">
        <f>Assumption!H22*H5</f>
        <v>-55328.620590927028</v>
      </c>
      <c r="I7" s="51">
        <f>Assumption!I22*I5</f>
        <v>-67605.557833758023</v>
      </c>
      <c r="J7" s="51">
        <f>Assumption!J22*J5</f>
        <v>-82606.640129450287</v>
      </c>
      <c r="K7" s="51">
        <f>Assumption!K22*K5</f>
        <v>-100936.33145157032</v>
      </c>
      <c r="M7" s="15"/>
      <c r="O7" s="3" t="s">
        <v>13</v>
      </c>
    </row>
    <row r="8" spans="1:17">
      <c r="A8" s="17"/>
      <c r="C8" s="37" t="s">
        <v>14</v>
      </c>
      <c r="D8" s="16">
        <f>D7/D5</f>
        <v>-0.19242857778239017</v>
      </c>
      <c r="E8" s="16">
        <f>E7/E5</f>
        <v>-0.18334842949282984</v>
      </c>
      <c r="F8" s="16">
        <f>F7/F5</f>
        <v>-0.18000557308201387</v>
      </c>
      <c r="M8" s="56"/>
      <c r="O8" s="60" t="s">
        <v>15</v>
      </c>
      <c r="P8" t="s">
        <v>11</v>
      </c>
      <c r="Q8" s="50"/>
    </row>
    <row r="9" spans="1:17">
      <c r="C9" s="1" t="s">
        <v>16</v>
      </c>
      <c r="D9" s="68">
        <f t="shared" ref="D9:K9" si="1">D5+D7</f>
        <v>108943</v>
      </c>
      <c r="E9" s="68">
        <f t="shared" si="1"/>
        <v>134340</v>
      </c>
      <c r="F9" s="68">
        <f t="shared" si="1"/>
        <v>164791</v>
      </c>
      <c r="G9" s="68">
        <f t="shared" si="1"/>
        <v>199137.10504095664</v>
      </c>
      <c r="H9" s="68">
        <f t="shared" si="1"/>
        <v>243323.88785237883</v>
      </c>
      <c r="I9" s="68">
        <f t="shared" si="1"/>
        <v>297315.33150198188</v>
      </c>
      <c r="J9" s="68">
        <f t="shared" si="1"/>
        <v>363287.00452033809</v>
      </c>
      <c r="K9" s="68">
        <f t="shared" si="1"/>
        <v>443897.21507678257</v>
      </c>
      <c r="M9" s="56"/>
      <c r="O9" s="3" t="s">
        <v>17</v>
      </c>
    </row>
    <row r="10" spans="1:17">
      <c r="C10" s="63" t="s">
        <v>18</v>
      </c>
      <c r="D10" s="67"/>
      <c r="E10" s="67"/>
      <c r="F10" s="67"/>
      <c r="M10" s="56"/>
      <c r="O10" s="41"/>
    </row>
    <row r="11" spans="1:17">
      <c r="C11" s="3" t="s">
        <v>19</v>
      </c>
      <c r="D11" s="71">
        <v>-38483</v>
      </c>
      <c r="E11" s="71">
        <v>-43873</v>
      </c>
      <c r="F11" s="71">
        <v>-57372</v>
      </c>
      <c r="G11" s="51">
        <f>Assumption!G23*G5</f>
        <v>-68229.433726878618</v>
      </c>
      <c r="H11" s="51">
        <f>Assumption!H23*H5</f>
        <v>-83368.948629517414</v>
      </c>
      <c r="I11" s="51">
        <f>Assumption!I23*I5</f>
        <v>-101867.78954392883</v>
      </c>
      <c r="J11" s="51">
        <f>Assumption!J23*J5</f>
        <v>-124471.36154589942</v>
      </c>
      <c r="K11" s="51">
        <f>Assumption!K23*K5</f>
        <v>-152090.46858142386</v>
      </c>
      <c r="M11" s="56"/>
      <c r="N11" s="15"/>
      <c r="O11" s="47"/>
    </row>
    <row r="12" spans="1:17">
      <c r="A12" s="17"/>
      <c r="C12" s="37" t="s">
        <v>14</v>
      </c>
      <c r="D12" s="16">
        <f>D11/D5</f>
        <v>-0.28526634149234259</v>
      </c>
      <c r="E12" s="16">
        <f>E11/E5</f>
        <v>-0.26670354587510109</v>
      </c>
      <c r="F12" s="16">
        <f>F11/F5</f>
        <v>-0.28548112616064408</v>
      </c>
      <c r="M12" s="57"/>
      <c r="O12" s="47"/>
    </row>
    <row r="13" spans="1:17">
      <c r="C13" s="3" t="s">
        <v>20</v>
      </c>
      <c r="D13" s="71">
        <v>-12301</v>
      </c>
      <c r="E13" s="71">
        <v>-11347</v>
      </c>
      <c r="F13" s="71">
        <v>-11991</v>
      </c>
      <c r="G13" s="51">
        <f>Assumption!G24*G5</f>
        <v>-17910.139520310575</v>
      </c>
      <c r="H13" s="51">
        <f>Assumption!H24*H5</f>
        <v>-21884.242914770723</v>
      </c>
      <c r="I13" s="51">
        <f>Assumption!I24*I5</f>
        <v>-26740.165112035236</v>
      </c>
      <c r="J13" s="51">
        <f>Assumption!J24*J5</f>
        <v>-32673.573995849514</v>
      </c>
      <c r="K13" s="51">
        <f>Assumption!K24*K5</f>
        <v>-39923.554442891756</v>
      </c>
      <c r="M13" s="51"/>
      <c r="O13" s="47"/>
    </row>
    <row r="14" spans="1:17">
      <c r="A14" s="17"/>
      <c r="C14" s="37" t="s">
        <v>14</v>
      </c>
      <c r="D14" s="16">
        <f>D13/D5</f>
        <v>-9.118471186490934E-2</v>
      </c>
      <c r="E14" s="16">
        <f>E13/E5</f>
        <v>-6.8978304083257849E-2</v>
      </c>
      <c r="F14" s="16">
        <f>F13/F5</f>
        <v>-5.9666809311027739E-2</v>
      </c>
      <c r="O14" s="47"/>
    </row>
    <row r="15" spans="1:17">
      <c r="C15" s="3" t="s">
        <v>21</v>
      </c>
      <c r="D15" s="71">
        <v>-11408</v>
      </c>
      <c r="E15" s="71">
        <v>-9740</v>
      </c>
      <c r="F15" s="71">
        <v>-12152</v>
      </c>
      <c r="G15" s="51">
        <f>Assumption!G25*G5</f>
        <v>-16640.189022654558</v>
      </c>
      <c r="H15" s="51">
        <f>Assumption!H25*H5</f>
        <v>-20332.501503213236</v>
      </c>
      <c r="I15" s="51">
        <f>Assumption!I25*I5</f>
        <v>-24844.105846113653</v>
      </c>
      <c r="J15" s="51">
        <f>Assumption!J25*J5</f>
        <v>-30356.795753604405</v>
      </c>
      <c r="K15" s="51">
        <f>Assumption!K25*K5</f>
        <v>-37092.703361276719</v>
      </c>
      <c r="M15" s="51"/>
      <c r="O15" s="48"/>
    </row>
    <row r="16" spans="1:17">
      <c r="A16" s="17"/>
      <c r="C16" s="37" t="s">
        <v>14</v>
      </c>
      <c r="D16" s="16">
        <f>D15/D5</f>
        <v>-8.4565091696194278E-2</v>
      </c>
      <c r="E16" s="16">
        <f>E15/E5</f>
        <v>-5.9209366508410285E-2</v>
      </c>
      <c r="F16" s="16">
        <f>F15/F5</f>
        <v>-6.0467939850521978E-2</v>
      </c>
      <c r="N16" s="9"/>
      <c r="O16" s="41"/>
    </row>
    <row r="17" spans="2:16">
      <c r="C17" s="34" t="s">
        <v>22</v>
      </c>
      <c r="D17" s="69">
        <f t="shared" ref="D17:K17" si="2">D15+D13+D11</f>
        <v>-62192</v>
      </c>
      <c r="E17" s="69">
        <f t="shared" si="2"/>
        <v>-64960</v>
      </c>
      <c r="F17" s="69">
        <f t="shared" si="2"/>
        <v>-81515</v>
      </c>
      <c r="G17" s="69">
        <f t="shared" si="2"/>
        <v>-102779.76226984375</v>
      </c>
      <c r="H17" s="69">
        <f t="shared" si="2"/>
        <v>-125585.69304750138</v>
      </c>
      <c r="I17" s="69">
        <f t="shared" si="2"/>
        <v>-153452.06050207771</v>
      </c>
      <c r="J17" s="69">
        <f t="shared" si="2"/>
        <v>-187501.73129535333</v>
      </c>
      <c r="K17" s="69">
        <f t="shared" si="2"/>
        <v>-229106.72638559234</v>
      </c>
      <c r="M17" s="46"/>
      <c r="O17" s="42"/>
      <c r="P17" s="64" t="s">
        <v>105</v>
      </c>
    </row>
    <row r="18" spans="2:16">
      <c r="C18" s="1" t="s">
        <v>23</v>
      </c>
      <c r="D18" s="69">
        <f t="shared" ref="D18:K18" si="3">D9+D17</f>
        <v>46751</v>
      </c>
      <c r="E18" s="69">
        <f t="shared" si="3"/>
        <v>69380</v>
      </c>
      <c r="F18" s="69">
        <f>F9+F17</f>
        <v>83276</v>
      </c>
      <c r="G18" s="69">
        <f t="shared" si="3"/>
        <v>96357.34277111289</v>
      </c>
      <c r="H18" s="69">
        <f t="shared" si="3"/>
        <v>117738.19480487745</v>
      </c>
      <c r="I18" s="69">
        <f t="shared" si="3"/>
        <v>143863.27099990417</v>
      </c>
      <c r="J18" s="69">
        <f t="shared" si="3"/>
        <v>175785.27322498476</v>
      </c>
      <c r="K18" s="69">
        <f t="shared" si="3"/>
        <v>214790.48869119023</v>
      </c>
      <c r="O18" s="13"/>
    </row>
    <row r="19" spans="2:16">
      <c r="C19" t="s">
        <v>24</v>
      </c>
      <c r="D19" s="71">
        <v>677</v>
      </c>
      <c r="E19" s="71">
        <v>1283</v>
      </c>
      <c r="F19" s="71">
        <v>2656</v>
      </c>
      <c r="G19" s="58">
        <f ca="1">Debt!G29</f>
        <v>-1509.7824195526669</v>
      </c>
      <c r="H19" s="58">
        <f ca="1">Debt!H29</f>
        <v>-1353.8383583669499</v>
      </c>
      <c r="I19" s="58">
        <f ca="1">Debt!I29</f>
        <v>-946.64720523766755</v>
      </c>
      <c r="J19" s="58">
        <f ca="1">Debt!J29</f>
        <v>-480.19960842345654</v>
      </c>
      <c r="K19" s="58">
        <f ca="1">Debt!K29</f>
        <v>53.782535373858082</v>
      </c>
      <c r="N19" s="1"/>
      <c r="P19" s="1" t="s">
        <v>106</v>
      </c>
    </row>
    <row r="20" spans="2:16">
      <c r="C20" s="1" t="s">
        <v>25</v>
      </c>
      <c r="D20" s="68">
        <f>D18+D19</f>
        <v>47428</v>
      </c>
      <c r="E20" s="68">
        <f t="shared" ref="E20:F20" si="4">E18+E19</f>
        <v>70663</v>
      </c>
      <c r="F20" s="68">
        <f t="shared" si="4"/>
        <v>85932</v>
      </c>
      <c r="G20" s="68">
        <f ca="1">G18+G19</f>
        <v>94847.560351560227</v>
      </c>
      <c r="H20" s="68">
        <f ca="1">H18+H19</f>
        <v>116384.3564465105</v>
      </c>
      <c r="I20" s="68">
        <f ca="1">I18+I19</f>
        <v>142916.62379466649</v>
      </c>
      <c r="J20" s="68">
        <f ca="1">J18+J19</f>
        <v>175305.07361656131</v>
      </c>
      <c r="K20" s="68">
        <f ca="1">K18+K19</f>
        <v>214844.27122656407</v>
      </c>
      <c r="M20" s="15"/>
      <c r="P20" s="1" t="s">
        <v>107</v>
      </c>
    </row>
    <row r="21" spans="2:16">
      <c r="C21" t="s">
        <v>26</v>
      </c>
      <c r="D21" s="71">
        <v>-8330</v>
      </c>
      <c r="E21" s="71">
        <v>-8303</v>
      </c>
      <c r="F21" s="71">
        <v>-25474</v>
      </c>
      <c r="G21" s="51">
        <f ca="1">-G20*Assumption!G27</f>
        <v>-19917.987673827647</v>
      </c>
      <c r="H21" s="51">
        <f ca="1">-H20*Assumption!H27</f>
        <v>-24440.714853767204</v>
      </c>
      <c r="I21" s="51">
        <f ca="1">-I20*Assumption!I27</f>
        <v>-30012.490996879962</v>
      </c>
      <c r="J21" s="51">
        <f ca="1">-J20*Assumption!J27</f>
        <v>-36814.065459477875</v>
      </c>
      <c r="K21" s="51">
        <f ca="1">-K20*Assumption!K27</f>
        <v>-45117.296957578452</v>
      </c>
      <c r="M21" s="15"/>
      <c r="P21" s="1" t="s">
        <v>108</v>
      </c>
    </row>
    <row r="22" spans="2:16">
      <c r="B22" t="s">
        <v>1</v>
      </c>
      <c r="C22" s="1" t="s">
        <v>27</v>
      </c>
      <c r="D22" s="68">
        <f>D20+D21</f>
        <v>39098</v>
      </c>
      <c r="E22" s="68">
        <f t="shared" ref="E22:F22" si="5">E20+E21</f>
        <v>62360</v>
      </c>
      <c r="F22" s="68">
        <f t="shared" si="5"/>
        <v>60458</v>
      </c>
      <c r="G22" s="68">
        <f ca="1">G20+G21</f>
        <v>74929.572677732576</v>
      </c>
      <c r="H22" s="68">
        <f ca="1">H20+H21</f>
        <v>91943.641592743297</v>
      </c>
      <c r="I22" s="68">
        <f ca="1">I20+I21</f>
        <v>112904.13279778653</v>
      </c>
      <c r="J22" s="68">
        <f ca="1">J20+J21</f>
        <v>138491.00815708342</v>
      </c>
      <c r="K22" s="68">
        <f ca="1">K20+K21</f>
        <v>169726.97426898562</v>
      </c>
      <c r="M22" s="15"/>
    </row>
    <row r="23" spans="2:16">
      <c r="C23" s="1"/>
      <c r="D23" s="46"/>
      <c r="E23" s="46"/>
      <c r="F23" s="46"/>
      <c r="G23" s="46"/>
      <c r="H23" s="46"/>
      <c r="I23" s="46"/>
      <c r="J23" s="46"/>
      <c r="K23" s="46"/>
      <c r="M23" s="15"/>
    </row>
    <row r="24" spans="2:16">
      <c r="C24" s="1" t="s">
        <v>109</v>
      </c>
      <c r="D24" s="53"/>
      <c r="E24" s="53"/>
      <c r="F24" s="53"/>
      <c r="G24" s="53"/>
      <c r="H24" s="10"/>
      <c r="I24" s="10"/>
      <c r="J24" s="10"/>
      <c r="K24" s="10"/>
      <c r="M24" s="15"/>
    </row>
    <row r="25" spans="2:16">
      <c r="C25" s="5"/>
      <c r="D25" s="153"/>
      <c r="E25" s="153"/>
      <c r="F25" s="153"/>
      <c r="G25" s="153"/>
      <c r="H25" s="153"/>
      <c r="I25" s="153"/>
      <c r="J25" s="153"/>
      <c r="K25" s="153"/>
    </row>
    <row r="26" spans="2:16">
      <c r="C26" s="64" t="s">
        <v>28</v>
      </c>
      <c r="D26" s="36">
        <f>D18+D27</f>
        <v>57929</v>
      </c>
      <c r="E26" s="36">
        <f t="shared" ref="E26:K26" si="6">E18+E27</f>
        <v>84878</v>
      </c>
      <c r="F26" s="36">
        <f t="shared" si="6"/>
        <v>101892</v>
      </c>
      <c r="G26" s="36">
        <f t="shared" si="6"/>
        <v>124834.85923591322</v>
      </c>
      <c r="H26" s="36">
        <f t="shared" si="6"/>
        <v>154075.86471362069</v>
      </c>
      <c r="I26" s="36">
        <f t="shared" si="6"/>
        <v>189332.86102643164</v>
      </c>
      <c r="J26" s="36">
        <f t="shared" si="6"/>
        <v>231979.80935771408</v>
      </c>
      <c r="K26" s="36">
        <f t="shared" si="6"/>
        <v>284811.79887928278</v>
      </c>
    </row>
    <row r="27" spans="2:16">
      <c r="C27" s="1" t="s">
        <v>3</v>
      </c>
      <c r="D27" s="15">
        <f>'D&amp;A'!D14</f>
        <v>11178</v>
      </c>
      <c r="E27" s="15">
        <f>'D&amp;A'!E14</f>
        <v>15498</v>
      </c>
      <c r="F27" s="15">
        <f>'D&amp;A'!F14</f>
        <v>18616</v>
      </c>
      <c r="G27" s="15">
        <f>'D&amp;A'!G14</f>
        <v>28477.516464800327</v>
      </c>
      <c r="H27" s="15">
        <f>'D&amp;A'!H14</f>
        <v>36337.669908743221</v>
      </c>
      <c r="I27" s="15">
        <f>'D&amp;A'!I14</f>
        <v>45469.590026527476</v>
      </c>
      <c r="J27" s="15">
        <f>'D&amp;A'!J14</f>
        <v>56194.536132729336</v>
      </c>
      <c r="K27" s="15">
        <f>'D&amp;A'!K14</f>
        <v>70021.310188092582</v>
      </c>
    </row>
    <row r="28" spans="2:16">
      <c r="C28" s="1"/>
      <c r="D28" s="10"/>
      <c r="E28" s="11"/>
      <c r="F28" s="10"/>
      <c r="G28" s="10"/>
      <c r="H28" s="10"/>
      <c r="I28" s="10"/>
      <c r="J28" s="10"/>
      <c r="K28" s="10"/>
    </row>
    <row r="30" spans="2:16">
      <c r="C30" s="1"/>
      <c r="D30" s="11"/>
      <c r="E30" s="11"/>
      <c r="F30" s="11"/>
      <c r="G30" s="11"/>
      <c r="H30" s="11"/>
      <c r="I30" s="11"/>
      <c r="J30" s="11"/>
      <c r="K30" s="11"/>
    </row>
    <row r="31" spans="2:16">
      <c r="B31" t="s">
        <v>1</v>
      </c>
      <c r="C31" s="5" t="s">
        <v>29</v>
      </c>
      <c r="D31" s="153" t="s">
        <v>30</v>
      </c>
      <c r="E31" s="153"/>
      <c r="F31" s="153"/>
      <c r="G31" s="153"/>
      <c r="H31" s="153"/>
      <c r="I31" s="153"/>
      <c r="J31" s="153"/>
      <c r="K31" s="153"/>
    </row>
    <row r="32" spans="2:16">
      <c r="C32" s="1" t="s">
        <v>31</v>
      </c>
      <c r="D32" s="35">
        <f t="shared" ref="D32:K32" si="7">D4</f>
        <v>2023</v>
      </c>
      <c r="E32" s="35">
        <f t="shared" si="7"/>
        <v>2024</v>
      </c>
      <c r="F32" s="35">
        <f t="shared" si="7"/>
        <v>2025</v>
      </c>
      <c r="G32" s="35">
        <f t="shared" si="7"/>
        <v>2026</v>
      </c>
      <c r="H32" s="35">
        <f t="shared" si="7"/>
        <v>2027</v>
      </c>
      <c r="I32" s="35">
        <f t="shared" si="7"/>
        <v>2028</v>
      </c>
      <c r="J32" s="35">
        <f t="shared" si="7"/>
        <v>2029</v>
      </c>
      <c r="K32" s="35">
        <f t="shared" si="7"/>
        <v>2030</v>
      </c>
    </row>
    <row r="33" spans="1:13">
      <c r="C33" t="s">
        <v>32</v>
      </c>
      <c r="D33" s="72"/>
      <c r="E33" s="73"/>
      <c r="F33" s="73"/>
      <c r="G33" s="73"/>
      <c r="H33" s="73"/>
      <c r="I33" s="73"/>
      <c r="J33" s="73"/>
      <c r="K33" s="73"/>
    </row>
    <row r="34" spans="1:13">
      <c r="A34" t="s">
        <v>103</v>
      </c>
      <c r="C34" s="3" t="s">
        <v>33</v>
      </c>
      <c r="D34" s="74">
        <v>41862</v>
      </c>
      <c r="E34" s="74">
        <v>43889</v>
      </c>
      <c r="F34" s="74">
        <v>35873</v>
      </c>
      <c r="G34" s="51">
        <f ca="1">G114</f>
        <v>43269.073724737478</v>
      </c>
      <c r="H34" s="51">
        <f ca="1">H114</f>
        <v>53665.34447045195</v>
      </c>
      <c r="I34" s="51">
        <f ca="1">I114</f>
        <v>71933.737729918226</v>
      </c>
      <c r="J34" s="51">
        <f ca="1">J114</f>
        <v>98187.87130284305</v>
      </c>
      <c r="K34" s="51">
        <f ca="1">K114</f>
        <v>130558.43230176005</v>
      </c>
      <c r="M34" t="s">
        <v>243</v>
      </c>
    </row>
    <row r="35" spans="1:13">
      <c r="A35" t="s">
        <v>104</v>
      </c>
      <c r="C35" s="3" t="s">
        <v>102</v>
      </c>
      <c r="D35" s="74">
        <v>23541</v>
      </c>
      <c r="E35" s="74">
        <v>33926</v>
      </c>
      <c r="F35" s="74">
        <v>45719</v>
      </c>
      <c r="G35" s="102">
        <f>F35</f>
        <v>45719</v>
      </c>
      <c r="H35" s="102">
        <f t="shared" ref="H35:K35" si="8">G35</f>
        <v>45719</v>
      </c>
      <c r="I35" s="102">
        <f t="shared" si="8"/>
        <v>45719</v>
      </c>
      <c r="J35" s="102">
        <f t="shared" si="8"/>
        <v>45719</v>
      </c>
      <c r="K35" s="102">
        <f t="shared" si="8"/>
        <v>45719</v>
      </c>
      <c r="M35" t="s">
        <v>244</v>
      </c>
    </row>
    <row r="36" spans="1:13">
      <c r="A36" t="s">
        <v>103</v>
      </c>
      <c r="C36" s="3" t="s">
        <v>34</v>
      </c>
      <c r="D36" s="74">
        <v>16169</v>
      </c>
      <c r="E36" s="74">
        <v>16994</v>
      </c>
      <c r="F36" s="74">
        <v>19769</v>
      </c>
      <c r="G36" s="51">
        <f>WC!G9</f>
        <v>23496.475153689738</v>
      </c>
      <c r="H36" s="51">
        <f>WC!H9</f>
        <v>28710.13759111712</v>
      </c>
      <c r="I36" s="51">
        <f>WC!I9</f>
        <v>35080.666147127922</v>
      </c>
      <c r="J36" s="51">
        <f>WC!J9</f>
        <v>42864.759300457335</v>
      </c>
      <c r="K36" s="51">
        <f>WC!K9</f>
        <v>52376.074678290337</v>
      </c>
      <c r="M36" t="s">
        <v>205</v>
      </c>
    </row>
    <row r="37" spans="1:13">
      <c r="A37" t="s">
        <v>103</v>
      </c>
      <c r="C37" s="3" t="s">
        <v>35</v>
      </c>
      <c r="D37" s="75"/>
      <c r="E37" s="75"/>
      <c r="F37" s="75"/>
      <c r="G37" s="75"/>
      <c r="H37" s="75"/>
      <c r="I37" s="75"/>
      <c r="J37" s="75"/>
      <c r="K37" s="75"/>
    </row>
    <row r="38" spans="1:13">
      <c r="C38" s="3" t="s">
        <v>36</v>
      </c>
      <c r="D38" s="74">
        <v>3793</v>
      </c>
      <c r="E38" s="74">
        <v>5236</v>
      </c>
      <c r="F38" s="74">
        <v>7361</v>
      </c>
      <c r="G38" s="102">
        <f>WC!G11</f>
        <v>7361</v>
      </c>
      <c r="H38" s="102">
        <f>WC!H11</f>
        <v>7361</v>
      </c>
      <c r="I38" s="102">
        <f>WC!I11</f>
        <v>7361</v>
      </c>
      <c r="J38" s="102">
        <f>WC!J11</f>
        <v>7361</v>
      </c>
      <c r="K38" s="102">
        <f>WC!K11</f>
        <v>7361</v>
      </c>
      <c r="M38" t="s">
        <v>244</v>
      </c>
    </row>
    <row r="39" spans="1:13">
      <c r="C39" s="4" t="s">
        <v>37</v>
      </c>
      <c r="D39" s="76">
        <f t="shared" ref="D39:F39" si="9">SUM(D34:D38)</f>
        <v>85365</v>
      </c>
      <c r="E39" s="76">
        <f t="shared" si="9"/>
        <v>100045</v>
      </c>
      <c r="F39" s="76">
        <f t="shared" si="9"/>
        <v>108722</v>
      </c>
      <c r="G39" s="76">
        <f ca="1">SUM(G34:G38)</f>
        <v>119845.54887842722</v>
      </c>
      <c r="H39" s="76">
        <f ca="1">SUM(H34:H38)</f>
        <v>135455.48206156906</v>
      </c>
      <c r="I39" s="76">
        <f ca="1">SUM(I34:I38)</f>
        <v>160094.40387704613</v>
      </c>
      <c r="J39" s="76">
        <f ca="1">SUM(J34:J38)</f>
        <v>194132.63060330038</v>
      </c>
      <c r="K39" s="76">
        <f ca="1">SUM(K34:K38)</f>
        <v>236014.50698005041</v>
      </c>
    </row>
    <row r="40" spans="1:13">
      <c r="D40" s="72"/>
      <c r="E40" s="72"/>
      <c r="F40" s="72"/>
      <c r="G40" s="51" t="str" cm="1">
        <f t="array" ref="G40">IFERROR(VLOOKUP(TRIM($C40),TRIM(WC!$C$5:$K$30),G$1,0),"")</f>
        <v/>
      </c>
      <c r="H40" s="51" t="str" cm="1">
        <f t="array" ref="H40">IFERROR(VLOOKUP(TRIM($C40),TRIM(WC!$C$5:$K$30),H$1,0),"")</f>
        <v/>
      </c>
      <c r="I40" s="51" t="str" cm="1">
        <f t="array" ref="I40">IFERROR(VLOOKUP(TRIM($C40),TRIM(WC!$C$5:$K$30),I$1,0),"")</f>
        <v/>
      </c>
      <c r="J40" s="51" t="str" cm="1">
        <f t="array" ref="J40">IFERROR(VLOOKUP(TRIM($C40),TRIM(WC!$C$5:$K$30),J$1,0),"")</f>
        <v/>
      </c>
      <c r="K40" s="51" t="str" cm="1">
        <f t="array" ref="K40">IFERROR(VLOOKUP(TRIM($C40),TRIM(WC!$C$5:$K$30),K$1,0),"")</f>
        <v/>
      </c>
    </row>
    <row r="41" spans="1:13">
      <c r="C41" t="s">
        <v>38</v>
      </c>
      <c r="D41" s="72"/>
      <c r="E41" s="72"/>
      <c r="F41" s="72"/>
      <c r="G41" s="51" t="str" cm="1">
        <f t="array" ref="G41">IFERROR(VLOOKUP(TRIM($C41),TRIM(WC!$C$5:$K$30),G$1,0),"")</f>
        <v/>
      </c>
      <c r="H41" s="51" t="str" cm="1">
        <f t="array" ref="H41">IFERROR(VLOOKUP(TRIM($C41),TRIM(WC!$C$5:$K$30),H$1,0),"")</f>
        <v/>
      </c>
      <c r="I41" s="51" t="str" cm="1">
        <f t="array" ref="I41">IFERROR(VLOOKUP(TRIM($C41),TRIM(WC!$C$5:$K$30),I$1,0),"")</f>
        <v/>
      </c>
      <c r="J41" s="51" t="str" cm="1">
        <f t="array" ref="J41">IFERROR(VLOOKUP(TRIM($C41),TRIM(WC!$C$5:$K$30),J$1,0),"")</f>
        <v/>
      </c>
      <c r="K41" s="51" t="str" cm="1">
        <f t="array" ref="K41">IFERROR(VLOOKUP(TRIM($C41),TRIM(WC!$C$5:$K$30),K$1,0),"")</f>
        <v/>
      </c>
    </row>
    <row r="42" spans="1:13">
      <c r="C42" s="3" t="s">
        <v>39</v>
      </c>
      <c r="D42" s="74">
        <v>6141</v>
      </c>
      <c r="E42" s="74">
        <v>6070</v>
      </c>
      <c r="F42" s="74">
        <v>27524</v>
      </c>
      <c r="G42" s="102">
        <f>F42</f>
        <v>27524</v>
      </c>
      <c r="H42" s="102">
        <f t="shared" ref="H42:K42" si="10">G42</f>
        <v>27524</v>
      </c>
      <c r="I42" s="102">
        <f t="shared" si="10"/>
        <v>27524</v>
      </c>
      <c r="J42" s="102">
        <f t="shared" si="10"/>
        <v>27524</v>
      </c>
      <c r="K42" s="102">
        <f t="shared" si="10"/>
        <v>27524</v>
      </c>
      <c r="M42" t="s">
        <v>244</v>
      </c>
    </row>
    <row r="43" spans="1:13">
      <c r="A43" t="s">
        <v>103</v>
      </c>
      <c r="C43" s="3" t="s">
        <v>40</v>
      </c>
      <c r="D43" s="74">
        <v>96587</v>
      </c>
      <c r="E43" s="74">
        <v>121346</v>
      </c>
      <c r="F43" s="74">
        <v>176400</v>
      </c>
      <c r="G43" s="51">
        <f>'D&amp;A'!G12</f>
        <v>233940.85292115854</v>
      </c>
      <c r="H43" s="51">
        <f>'D&amp;A'!H12</f>
        <v>302331.91552399652</v>
      </c>
      <c r="I43" s="51">
        <f>'D&amp;A'!I12</f>
        <v>384180.61060389027</v>
      </c>
      <c r="J43" s="51">
        <f>'D&amp;A'!J12</f>
        <v>482652.09590408189</v>
      </c>
      <c r="K43" s="51">
        <f>'D&amp;A'!K12</f>
        <v>601595.19150158204</v>
      </c>
      <c r="M43" t="s">
        <v>3</v>
      </c>
    </row>
    <row r="44" spans="1:13">
      <c r="C44" s="3" t="s">
        <v>41</v>
      </c>
      <c r="D44" s="74">
        <v>20654</v>
      </c>
      <c r="E44" s="74">
        <v>20654</v>
      </c>
      <c r="F44" s="74">
        <v>24534</v>
      </c>
      <c r="G44" s="102">
        <f>F44</f>
        <v>24534</v>
      </c>
      <c r="H44" s="102">
        <f t="shared" ref="H44:K44" si="11">G44</f>
        <v>24534</v>
      </c>
      <c r="I44" s="102">
        <f t="shared" si="11"/>
        <v>24534</v>
      </c>
      <c r="J44" s="102">
        <f t="shared" si="11"/>
        <v>24534</v>
      </c>
      <c r="K44" s="102">
        <f t="shared" si="11"/>
        <v>24534</v>
      </c>
      <c r="M44" t="s">
        <v>244</v>
      </c>
    </row>
    <row r="45" spans="1:13">
      <c r="A45" t="s">
        <v>103</v>
      </c>
      <c r="C45" s="3" t="s">
        <v>42</v>
      </c>
      <c r="D45" s="77">
        <v>788</v>
      </c>
      <c r="E45" s="77">
        <v>915</v>
      </c>
      <c r="F45" s="77">
        <v>3692</v>
      </c>
      <c r="G45" s="51">
        <f>'D&amp;A'!G24</f>
        <v>2433</v>
      </c>
      <c r="H45" s="51">
        <f>'D&amp;A'!H24</f>
        <v>1271</v>
      </c>
      <c r="I45" s="51">
        <f>'D&amp;A'!I24</f>
        <v>500</v>
      </c>
      <c r="J45" s="51">
        <f>'D&amp;A'!J24</f>
        <v>461</v>
      </c>
      <c r="K45" s="51">
        <f>'D&amp;A'!K24</f>
        <v>434</v>
      </c>
      <c r="M45" t="s">
        <v>3</v>
      </c>
    </row>
    <row r="46" spans="1:13">
      <c r="C46" s="3" t="s">
        <v>43</v>
      </c>
      <c r="D46" s="74">
        <v>13294</v>
      </c>
      <c r="E46" s="74">
        <v>14922</v>
      </c>
      <c r="F46" s="74">
        <v>20404</v>
      </c>
      <c r="G46" s="102">
        <f>F46</f>
        <v>20404</v>
      </c>
      <c r="H46" s="102">
        <f t="shared" ref="H46:K46" si="12">G46</f>
        <v>20404</v>
      </c>
      <c r="I46" s="102">
        <f t="shared" si="12"/>
        <v>20404</v>
      </c>
      <c r="J46" s="102">
        <f t="shared" si="12"/>
        <v>20404</v>
      </c>
      <c r="K46" s="102">
        <f t="shared" si="12"/>
        <v>20404</v>
      </c>
      <c r="M46" t="s">
        <v>244</v>
      </c>
    </row>
    <row r="47" spans="1:13">
      <c r="C47" s="3" t="s">
        <v>44</v>
      </c>
      <c r="D47" s="77">
        <f>7582-788</f>
        <v>6794</v>
      </c>
      <c r="E47" s="77">
        <f>13017-915</f>
        <v>12102</v>
      </c>
      <c r="F47" s="77">
        <v>4745</v>
      </c>
      <c r="G47" s="102">
        <f>F47</f>
        <v>4745</v>
      </c>
      <c r="H47" s="102">
        <f t="shared" ref="H47:K47" si="13">G47</f>
        <v>4745</v>
      </c>
      <c r="I47" s="102">
        <f t="shared" si="13"/>
        <v>4745</v>
      </c>
      <c r="J47" s="102">
        <f t="shared" si="13"/>
        <v>4745</v>
      </c>
      <c r="K47" s="102">
        <f t="shared" si="13"/>
        <v>4745</v>
      </c>
      <c r="M47" t="s">
        <v>244</v>
      </c>
    </row>
    <row r="48" spans="1:13">
      <c r="C48" s="4" t="s">
        <v>45</v>
      </c>
      <c r="D48" s="76">
        <f t="shared" ref="D48:F48" si="14">SUM(D42:D47)</f>
        <v>144258</v>
      </c>
      <c r="E48" s="76">
        <f t="shared" si="14"/>
        <v>176009</v>
      </c>
      <c r="F48" s="76">
        <f t="shared" si="14"/>
        <v>257299</v>
      </c>
      <c r="G48" s="76">
        <f t="shared" ref="G48:K48" si="15">SUM(G42:G47)</f>
        <v>313580.85292115854</v>
      </c>
      <c r="H48" s="76">
        <f t="shared" si="15"/>
        <v>380809.91552399652</v>
      </c>
      <c r="I48" s="76">
        <f t="shared" si="15"/>
        <v>461887.61060389027</v>
      </c>
      <c r="J48" s="76">
        <f t="shared" si="15"/>
        <v>560320.09590408183</v>
      </c>
      <c r="K48" s="76">
        <f t="shared" si="15"/>
        <v>679236.19150158204</v>
      </c>
    </row>
    <row r="49" spans="1:13">
      <c r="D49" s="72"/>
      <c r="E49" s="72"/>
      <c r="F49" s="72"/>
      <c r="G49" s="72"/>
      <c r="H49" s="72"/>
      <c r="I49" s="72"/>
      <c r="J49" s="72"/>
      <c r="K49" s="72"/>
    </row>
    <row r="50" spans="1:13" ht="15" thickBot="1">
      <c r="C50" s="1" t="s">
        <v>46</v>
      </c>
      <c r="D50" s="78">
        <f t="shared" ref="D50:F50" si="16">SUM(D39,D48)</f>
        <v>229623</v>
      </c>
      <c r="E50" s="78">
        <f t="shared" si="16"/>
        <v>276054</v>
      </c>
      <c r="F50" s="78">
        <f t="shared" si="16"/>
        <v>366021</v>
      </c>
      <c r="G50" s="78">
        <f ca="1">SUM(G39,G48)</f>
        <v>433426.40179958579</v>
      </c>
      <c r="H50" s="78">
        <f ca="1">SUM(H39,H48)</f>
        <v>516265.39758556557</v>
      </c>
      <c r="I50" s="78">
        <f ca="1">SUM(I39,I48)</f>
        <v>621982.01448093634</v>
      </c>
      <c r="J50" s="78">
        <f ca="1">SUM(J39,J48)</f>
        <v>754452.72650738223</v>
      </c>
      <c r="K50" s="78">
        <f ca="1">SUM(K39,K48)</f>
        <v>915250.6984816324</v>
      </c>
    </row>
    <row r="51" spans="1:13" ht="15" thickTop="1">
      <c r="D51" s="72"/>
      <c r="E51" s="72"/>
      <c r="F51" s="72"/>
      <c r="G51" s="72"/>
      <c r="H51" s="72"/>
      <c r="I51" s="72"/>
      <c r="J51" s="72"/>
      <c r="K51" s="72"/>
    </row>
    <row r="52" spans="1:13">
      <c r="C52" s="1" t="s">
        <v>47</v>
      </c>
      <c r="D52" s="79"/>
      <c r="E52" s="79"/>
      <c r="F52" s="79"/>
      <c r="G52" s="79"/>
      <c r="H52" s="79"/>
      <c r="I52" s="79"/>
      <c r="J52" s="79"/>
      <c r="K52" s="79"/>
    </row>
    <row r="53" spans="1:13">
      <c r="C53" s="1" t="s">
        <v>48</v>
      </c>
      <c r="D53" s="72"/>
      <c r="E53" s="72"/>
      <c r="F53" s="72"/>
      <c r="G53" s="72"/>
      <c r="H53" s="72"/>
      <c r="I53" s="72"/>
      <c r="J53" s="72"/>
      <c r="K53" s="72"/>
    </row>
    <row r="54" spans="1:13">
      <c r="A54" t="s">
        <v>103</v>
      </c>
      <c r="C54" s="3" t="s">
        <v>49</v>
      </c>
      <c r="D54" s="74">
        <v>4849</v>
      </c>
      <c r="E54" s="74">
        <v>7687</v>
      </c>
      <c r="F54" s="74">
        <v>8894</v>
      </c>
      <c r="G54" s="51">
        <f>WC!G14</f>
        <v>9893.8291218531795</v>
      </c>
      <c r="H54" s="51">
        <f>WC!H14</f>
        <v>12089.183315089724</v>
      </c>
      <c r="I54" s="51">
        <f>WC!I14</f>
        <v>14771.667412674007</v>
      </c>
      <c r="J54" s="51">
        <f>WC!J14</f>
        <v>18049.3712820365</v>
      </c>
      <c r="K54" s="51">
        <f>WC!K14</f>
        <v>22054.368987301099</v>
      </c>
      <c r="M54" t="s">
        <v>205</v>
      </c>
    </row>
    <row r="55" spans="1:13">
      <c r="A55" t="s">
        <v>103</v>
      </c>
      <c r="C55" s="66" t="s">
        <v>50</v>
      </c>
      <c r="D55" s="74">
        <v>0</v>
      </c>
      <c r="E55" s="74">
        <v>0</v>
      </c>
      <c r="F55" s="74">
        <v>0</v>
      </c>
      <c r="G55" s="51">
        <v>0</v>
      </c>
      <c r="H55" s="51">
        <v>0</v>
      </c>
      <c r="I55" s="51">
        <v>0</v>
      </c>
      <c r="J55" s="51">
        <v>0</v>
      </c>
      <c r="K55" s="51">
        <v>0</v>
      </c>
      <c r="M55" t="s">
        <v>144</v>
      </c>
    </row>
    <row r="56" spans="1:13">
      <c r="A56" t="s">
        <v>103</v>
      </c>
      <c r="C56" s="66" t="s">
        <v>110</v>
      </c>
      <c r="D56" s="75"/>
      <c r="E56" s="75"/>
      <c r="F56" s="75"/>
      <c r="G56" s="80">
        <f ca="1">Debt!G50</f>
        <v>0</v>
      </c>
      <c r="H56" s="80">
        <f ca="1">Debt!H50</f>
        <v>0</v>
      </c>
      <c r="I56" s="80">
        <f ca="1">Debt!I50</f>
        <v>0</v>
      </c>
      <c r="J56" s="80">
        <f ca="1">Debt!J50</f>
        <v>0</v>
      </c>
      <c r="K56" s="80">
        <f ca="1">Debt!K50</f>
        <v>0</v>
      </c>
      <c r="M56" t="s">
        <v>144</v>
      </c>
    </row>
    <row r="57" spans="1:13">
      <c r="A57" t="s">
        <v>103</v>
      </c>
      <c r="C57" s="66" t="s">
        <v>51</v>
      </c>
      <c r="D57" s="74">
        <v>1623</v>
      </c>
      <c r="E57" s="74">
        <v>1942</v>
      </c>
      <c r="F57" s="74">
        <v>2213</v>
      </c>
      <c r="G57" s="51">
        <f>Debt!G19</f>
        <v>0</v>
      </c>
      <c r="H57" s="51">
        <f>Debt!H19</f>
        <v>0</v>
      </c>
      <c r="I57" s="51">
        <f>Debt!I19</f>
        <v>0</v>
      </c>
      <c r="J57" s="51">
        <f>Debt!J19</f>
        <v>0</v>
      </c>
      <c r="K57" s="51">
        <f>Debt!K19</f>
        <v>0</v>
      </c>
      <c r="M57" t="s">
        <v>144</v>
      </c>
    </row>
    <row r="58" spans="1:13">
      <c r="C58" s="3" t="s">
        <v>52</v>
      </c>
      <c r="D58" s="74">
        <v>25488</v>
      </c>
      <c r="E58" s="74">
        <v>23967</v>
      </c>
      <c r="F58" s="74">
        <v>30729</v>
      </c>
      <c r="G58" s="102">
        <f>WC!G15</f>
        <v>30729</v>
      </c>
      <c r="H58" s="102">
        <f>WC!H15</f>
        <v>30729</v>
      </c>
      <c r="I58" s="102">
        <f>WC!I15</f>
        <v>30729</v>
      </c>
      <c r="J58" s="102">
        <f>WC!J15</f>
        <v>30729</v>
      </c>
      <c r="K58" s="102">
        <f>WC!K15</f>
        <v>30729</v>
      </c>
      <c r="M58" t="s">
        <v>244</v>
      </c>
    </row>
    <row r="59" spans="1:13">
      <c r="C59" s="4" t="s">
        <v>53</v>
      </c>
      <c r="D59" s="76">
        <f t="shared" ref="D59:K59" si="17">SUM(D54:D58)</f>
        <v>31960</v>
      </c>
      <c r="E59" s="76">
        <f t="shared" si="17"/>
        <v>33596</v>
      </c>
      <c r="F59" s="76">
        <f t="shared" si="17"/>
        <v>41836</v>
      </c>
      <c r="G59" s="76">
        <f t="shared" ca="1" si="17"/>
        <v>40622.829121853181</v>
      </c>
      <c r="H59" s="76">
        <f t="shared" ca="1" si="17"/>
        <v>42818.183315089722</v>
      </c>
      <c r="I59" s="76">
        <f t="shared" ca="1" si="17"/>
        <v>45500.667412674011</v>
      </c>
      <c r="J59" s="76">
        <f t="shared" ca="1" si="17"/>
        <v>48778.371282036504</v>
      </c>
      <c r="K59" s="76">
        <f t="shared" ca="1" si="17"/>
        <v>52783.368987301103</v>
      </c>
    </row>
    <row r="60" spans="1:13">
      <c r="D60" s="72"/>
      <c r="E60" s="72"/>
      <c r="F60" s="72"/>
      <c r="G60" s="72"/>
      <c r="H60" s="72"/>
      <c r="I60" s="72"/>
      <c r="J60" s="72"/>
      <c r="K60" s="72"/>
    </row>
    <row r="61" spans="1:13">
      <c r="C61" s="1" t="s">
        <v>54</v>
      </c>
      <c r="D61" s="74"/>
      <c r="E61" s="74"/>
      <c r="F61" s="74"/>
      <c r="G61" s="72"/>
      <c r="H61" s="72"/>
      <c r="I61" s="72"/>
      <c r="J61" s="72"/>
      <c r="K61" s="72"/>
    </row>
    <row r="62" spans="1:13">
      <c r="A62" t="s">
        <v>103</v>
      </c>
      <c r="C62" s="66" t="s">
        <v>55</v>
      </c>
      <c r="D62" s="74">
        <v>18385</v>
      </c>
      <c r="E62" s="74">
        <v>28826</v>
      </c>
      <c r="F62" s="74">
        <v>58744</v>
      </c>
      <c r="G62" s="72">
        <f>Debt!G9</f>
        <v>58744</v>
      </c>
      <c r="H62" s="72">
        <f>Debt!H9</f>
        <v>55994</v>
      </c>
      <c r="I62" s="72">
        <f>Debt!I9</f>
        <v>54494</v>
      </c>
      <c r="J62" s="72">
        <f>Debt!J9</f>
        <v>53494</v>
      </c>
      <c r="K62" s="72">
        <f>Debt!K9</f>
        <v>48494</v>
      </c>
      <c r="M62" t="s">
        <v>144</v>
      </c>
    </row>
    <row r="63" spans="1:13">
      <c r="A63" t="s">
        <v>103</v>
      </c>
      <c r="C63" s="66" t="s">
        <v>56</v>
      </c>
      <c r="D63" s="74">
        <v>17226</v>
      </c>
      <c r="E63" s="74">
        <v>18292</v>
      </c>
      <c r="F63" s="74">
        <v>22940</v>
      </c>
      <c r="G63" s="72">
        <f>Debt!G24</f>
        <v>21942</v>
      </c>
      <c r="H63" s="72">
        <f>Debt!H24</f>
        <v>18705</v>
      </c>
      <c r="I63" s="72">
        <f>Debt!I24</f>
        <v>15648</v>
      </c>
      <c r="J63" s="72">
        <f>Debt!J24</f>
        <v>12663</v>
      </c>
      <c r="K63" s="72">
        <f>Debt!K24</f>
        <v>10042</v>
      </c>
      <c r="M63" t="s">
        <v>144</v>
      </c>
    </row>
    <row r="64" spans="1:13">
      <c r="C64" s="3" t="s">
        <v>57</v>
      </c>
      <c r="D64" s="74">
        <v>7514</v>
      </c>
      <c r="E64" s="74">
        <v>9987</v>
      </c>
      <c r="F64" s="74">
        <v>21005</v>
      </c>
      <c r="G64" s="103">
        <f>F64</f>
        <v>21005</v>
      </c>
      <c r="H64" s="103">
        <f t="shared" ref="H64:K64" si="18">G64</f>
        <v>21005</v>
      </c>
      <c r="I64" s="103">
        <f t="shared" si="18"/>
        <v>21005</v>
      </c>
      <c r="J64" s="103">
        <f t="shared" si="18"/>
        <v>21005</v>
      </c>
      <c r="K64" s="103">
        <f t="shared" si="18"/>
        <v>21005</v>
      </c>
      <c r="M64" t="s">
        <v>244</v>
      </c>
    </row>
    <row r="65" spans="1:13">
      <c r="C65" s="3" t="s">
        <v>58</v>
      </c>
      <c r="D65" s="74">
        <v>1370</v>
      </c>
      <c r="E65" s="74">
        <v>2716</v>
      </c>
      <c r="F65" s="74">
        <v>4253</v>
      </c>
      <c r="G65" s="103">
        <f>F65</f>
        <v>4253</v>
      </c>
      <c r="H65" s="103">
        <f t="shared" ref="H65:K65" si="19">G65</f>
        <v>4253</v>
      </c>
      <c r="I65" s="103">
        <f t="shared" si="19"/>
        <v>4253</v>
      </c>
      <c r="J65" s="103">
        <f t="shared" si="19"/>
        <v>4253</v>
      </c>
      <c r="K65" s="103">
        <f t="shared" si="19"/>
        <v>4253</v>
      </c>
      <c r="M65" t="s">
        <v>244</v>
      </c>
    </row>
    <row r="66" spans="1:13">
      <c r="C66" s="4" t="s">
        <v>59</v>
      </c>
      <c r="D66" s="76">
        <f t="shared" ref="D66:K66" si="20">SUM(D62:D65)</f>
        <v>44495</v>
      </c>
      <c r="E66" s="76">
        <f t="shared" si="20"/>
        <v>59821</v>
      </c>
      <c r="F66" s="76">
        <f t="shared" si="20"/>
        <v>106942</v>
      </c>
      <c r="G66" s="76">
        <f t="shared" si="20"/>
        <v>105944</v>
      </c>
      <c r="H66" s="76">
        <f t="shared" si="20"/>
        <v>99957</v>
      </c>
      <c r="I66" s="76">
        <f t="shared" si="20"/>
        <v>95400</v>
      </c>
      <c r="J66" s="76">
        <f t="shared" si="20"/>
        <v>91415</v>
      </c>
      <c r="K66" s="76">
        <f t="shared" si="20"/>
        <v>83794</v>
      </c>
    </row>
    <row r="67" spans="1:13">
      <c r="D67" s="72"/>
      <c r="E67" s="72"/>
      <c r="F67" s="72"/>
      <c r="G67" s="72"/>
      <c r="H67" s="72"/>
      <c r="I67" s="72"/>
      <c r="J67" s="72"/>
      <c r="K67" s="72"/>
    </row>
    <row r="68" spans="1:13">
      <c r="C68" s="1" t="s">
        <v>4</v>
      </c>
      <c r="D68" s="72"/>
      <c r="E68" s="72"/>
      <c r="F68" s="72"/>
      <c r="G68" s="72"/>
      <c r="H68" s="72"/>
      <c r="I68" s="72"/>
      <c r="J68" s="72"/>
      <c r="K68" s="72"/>
    </row>
    <row r="69" spans="1:13">
      <c r="A69" t="s">
        <v>103</v>
      </c>
      <c r="C69" s="4" t="s">
        <v>60</v>
      </c>
      <c r="D69" s="72"/>
      <c r="E69" s="72"/>
      <c r="F69" s="72"/>
      <c r="G69" s="72"/>
      <c r="H69" s="72"/>
      <c r="I69" s="72"/>
      <c r="J69" s="72"/>
      <c r="K69" s="72"/>
    </row>
    <row r="70" spans="1:13">
      <c r="C70" s="14" t="s">
        <v>61</v>
      </c>
      <c r="D70" s="74">
        <v>73253</v>
      </c>
      <c r="E70" s="74">
        <v>83228</v>
      </c>
      <c r="F70" s="74">
        <v>95793</v>
      </c>
      <c r="G70" s="80"/>
      <c r="H70" s="80"/>
      <c r="I70" s="80"/>
      <c r="J70" s="80"/>
      <c r="K70" s="80"/>
    </row>
    <row r="71" spans="1:13">
      <c r="C71" s="14" t="s">
        <v>62</v>
      </c>
      <c r="D71" s="74">
        <v>-2155</v>
      </c>
      <c r="E71" s="74">
        <v>-3097</v>
      </c>
      <c r="F71" s="74">
        <v>271</v>
      </c>
      <c r="G71" s="80"/>
      <c r="H71" s="80"/>
      <c r="I71" s="80"/>
      <c r="J71" s="80"/>
      <c r="K71" s="80"/>
    </row>
    <row r="72" spans="1:13">
      <c r="C72" s="65" t="s">
        <v>63</v>
      </c>
      <c r="D72" s="69">
        <f t="shared" ref="D72:F72" si="21">SUM(D70:D71)</f>
        <v>71098</v>
      </c>
      <c r="E72" s="69">
        <f t="shared" si="21"/>
        <v>80131</v>
      </c>
      <c r="F72" s="69">
        <f t="shared" si="21"/>
        <v>96064</v>
      </c>
      <c r="G72" s="69">
        <f>Equity!G8</f>
        <v>96064</v>
      </c>
      <c r="H72" s="69">
        <f>Equity!H8</f>
        <v>96064</v>
      </c>
      <c r="I72" s="69">
        <f>Equity!I8</f>
        <v>96064</v>
      </c>
      <c r="J72" s="69">
        <f>Equity!J8</f>
        <v>96064</v>
      </c>
      <c r="K72" s="69">
        <f>Equity!K8</f>
        <v>96064</v>
      </c>
      <c r="M72" t="s">
        <v>4</v>
      </c>
    </row>
    <row r="73" spans="1:13">
      <c r="C73" s="66" t="s">
        <v>64</v>
      </c>
      <c r="D73" s="74">
        <v>82070</v>
      </c>
      <c r="E73" s="74">
        <v>102506</v>
      </c>
      <c r="F73" s="74">
        <v>121179</v>
      </c>
      <c r="G73" s="72">
        <f ca="1">Equity!G13</f>
        <v>190795.57267773256</v>
      </c>
      <c r="H73" s="72">
        <f ca="1">Equity!H13</f>
        <v>277426.21427047584</v>
      </c>
      <c r="I73" s="72">
        <f ca="1">Equity!I13</f>
        <v>385017.3470682624</v>
      </c>
      <c r="J73" s="72">
        <f ca="1">Equity!J13</f>
        <v>518195.35522534582</v>
      </c>
      <c r="K73" s="72">
        <f ca="1">Equity!K13</f>
        <v>682609.3294943315</v>
      </c>
      <c r="M73" t="s">
        <v>4</v>
      </c>
    </row>
    <row r="74" spans="1:13">
      <c r="C74" s="4" t="s">
        <v>65</v>
      </c>
      <c r="D74" s="76">
        <f t="shared" ref="D74:F74" si="22">SUM(D72:D73)</f>
        <v>153168</v>
      </c>
      <c r="E74" s="76">
        <f t="shared" si="22"/>
        <v>182637</v>
      </c>
      <c r="F74" s="76">
        <f t="shared" si="22"/>
        <v>217243</v>
      </c>
      <c r="G74" s="76">
        <f ca="1">SUM(G70:G73)</f>
        <v>286859.57267773256</v>
      </c>
      <c r="H74" s="76">
        <f ca="1">SUM(H70:H73)</f>
        <v>373490.21427047584</v>
      </c>
      <c r="I74" s="76">
        <f ca="1">SUM(I70:I73)</f>
        <v>481081.3470682624</v>
      </c>
      <c r="J74" s="76">
        <f ca="1">SUM(J70:J73)</f>
        <v>614259.35522534582</v>
      </c>
      <c r="K74" s="76">
        <f ca="1">SUM(K70:K73)</f>
        <v>778673.3294943315</v>
      </c>
    </row>
    <row r="75" spans="1:13">
      <c r="C75" s="3"/>
      <c r="D75" s="72"/>
      <c r="E75" s="72"/>
      <c r="F75" s="72"/>
      <c r="G75" s="72"/>
      <c r="H75" s="72"/>
      <c r="I75" s="72"/>
      <c r="J75" s="72"/>
      <c r="K75" s="72"/>
    </row>
    <row r="76" spans="1:13" ht="15" thickBot="1">
      <c r="B76" t="s">
        <v>1</v>
      </c>
      <c r="C76" s="1" t="s">
        <v>66</v>
      </c>
      <c r="D76" s="78">
        <f t="shared" ref="D76:F76" si="23">SUM(D59,D66,D74)</f>
        <v>229623</v>
      </c>
      <c r="E76" s="78">
        <f t="shared" si="23"/>
        <v>276054</v>
      </c>
      <c r="F76" s="78">
        <f t="shared" si="23"/>
        <v>366021</v>
      </c>
      <c r="G76" s="78">
        <f ca="1">SUM(G59,G66,G74)</f>
        <v>433426.40179958573</v>
      </c>
      <c r="H76" s="78">
        <f ca="1">SUM(H59,H66,H74)</f>
        <v>516265.39758556557</v>
      </c>
      <c r="I76" s="78">
        <f ca="1">SUM(I59,I66,I74)</f>
        <v>621982.01448093634</v>
      </c>
      <c r="J76" s="78">
        <f ca="1">SUM(J59,J66,J74)</f>
        <v>754452.72650738235</v>
      </c>
      <c r="K76" s="78">
        <f ca="1">SUM(K59,K66,K74)</f>
        <v>915250.69848163263</v>
      </c>
    </row>
    <row r="77" spans="1:13" ht="15" thickTop="1">
      <c r="D77" s="72"/>
      <c r="E77" s="72"/>
      <c r="F77" s="72"/>
      <c r="G77" s="72"/>
      <c r="H77" s="72"/>
      <c r="I77" s="72"/>
      <c r="J77" s="72"/>
      <c r="K77" s="72"/>
    </row>
    <row r="78" spans="1:13">
      <c r="C78" s="6" t="s">
        <v>67</v>
      </c>
      <c r="D78" s="81" t="b">
        <f t="shared" ref="D78:F78" si="24">D50=D76</f>
        <v>1</v>
      </c>
      <c r="E78" s="81" t="b">
        <f t="shared" si="24"/>
        <v>1</v>
      </c>
      <c r="F78" s="81" t="b">
        <f t="shared" si="24"/>
        <v>1</v>
      </c>
      <c r="G78" s="81">
        <f t="shared" ref="G78:I78" ca="1" si="25">G76-G50</f>
        <v>0</v>
      </c>
      <c r="H78" s="81">
        <f t="shared" ca="1" si="25"/>
        <v>0</v>
      </c>
      <c r="I78" s="81">
        <f t="shared" ca="1" si="25"/>
        <v>0</v>
      </c>
      <c r="J78" s="81">
        <f ca="1">J76-J50</f>
        <v>0</v>
      </c>
      <c r="K78" s="81">
        <f t="shared" ref="K78" ca="1" si="26">K76-K50</f>
        <v>0</v>
      </c>
    </row>
    <row r="79" spans="1:13">
      <c r="H79" s="9"/>
      <c r="I79" s="9"/>
      <c r="J79" s="9"/>
      <c r="K79" s="9"/>
    </row>
    <row r="80" spans="1:13">
      <c r="B80" t="s">
        <v>1</v>
      </c>
      <c r="C80" s="5" t="s">
        <v>68</v>
      </c>
      <c r="D80" s="153"/>
      <c r="E80" s="153"/>
      <c r="F80" s="153"/>
      <c r="G80" s="153"/>
      <c r="H80" s="153"/>
      <c r="I80" s="153"/>
      <c r="J80" s="153"/>
      <c r="K80" s="153"/>
    </row>
    <row r="81" spans="3:17">
      <c r="D81" s="8">
        <f>D32</f>
        <v>2023</v>
      </c>
      <c r="E81" s="8">
        <f t="shared" ref="E81:K81" si="27">E32</f>
        <v>2024</v>
      </c>
      <c r="F81" s="8">
        <f t="shared" si="27"/>
        <v>2025</v>
      </c>
      <c r="G81" s="8">
        <f t="shared" si="27"/>
        <v>2026</v>
      </c>
      <c r="H81" s="8">
        <f t="shared" si="27"/>
        <v>2027</v>
      </c>
      <c r="I81" s="8">
        <f t="shared" si="27"/>
        <v>2028</v>
      </c>
      <c r="J81" s="8">
        <f t="shared" si="27"/>
        <v>2029</v>
      </c>
      <c r="K81" s="8">
        <f t="shared" si="27"/>
        <v>2030</v>
      </c>
    </row>
    <row r="82" spans="3:17">
      <c r="C82" t="s">
        <v>27</v>
      </c>
      <c r="D82" s="51"/>
      <c r="E82" s="51"/>
      <c r="F82" s="51"/>
      <c r="G82" s="51">
        <f ca="1">G22</f>
        <v>74929.572677732576</v>
      </c>
      <c r="H82" s="51">
        <f ca="1">H22</f>
        <v>91943.641592743297</v>
      </c>
      <c r="I82" s="51">
        <f ca="1">I22</f>
        <v>112904.13279778653</v>
      </c>
      <c r="J82" s="51">
        <f ca="1">J22</f>
        <v>138491.00815708342</v>
      </c>
      <c r="K82" s="51">
        <f ca="1">K22</f>
        <v>169726.97426898562</v>
      </c>
    </row>
    <row r="83" spans="3:17">
      <c r="C83" s="7" t="s">
        <v>69</v>
      </c>
      <c r="D83" s="74">
        <v>11178</v>
      </c>
      <c r="E83" s="74">
        <v>15498</v>
      </c>
      <c r="F83" s="74">
        <v>18616</v>
      </c>
      <c r="G83" s="51">
        <f>'D&amp;A'!G14</f>
        <v>28477.516464800327</v>
      </c>
      <c r="H83" s="51">
        <f>'D&amp;A'!H14</f>
        <v>36337.669908743221</v>
      </c>
      <c r="I83" s="51">
        <f>'D&amp;A'!I14</f>
        <v>45469.590026527476</v>
      </c>
      <c r="J83" s="51">
        <f>'D&amp;A'!J14</f>
        <v>56194.536132729336</v>
      </c>
      <c r="K83" s="51">
        <f>'D&amp;A'!K14</f>
        <v>70021.310188092582</v>
      </c>
      <c r="M83" t="s">
        <v>3</v>
      </c>
    </row>
    <row r="84" spans="3:17">
      <c r="C84" s="49" t="s">
        <v>70</v>
      </c>
      <c r="D84" s="51"/>
      <c r="E84" s="72"/>
      <c r="F84" s="74"/>
      <c r="G84" s="51">
        <f>-WC!G19</f>
        <v>-2727.6460318365571</v>
      </c>
      <c r="H84" s="51">
        <f>-WC!H19</f>
        <v>-3018.3082441908409</v>
      </c>
      <c r="I84" s="51">
        <f>-WC!I19</f>
        <v>-3688.0444584265133</v>
      </c>
      <c r="J84" s="51">
        <f>-WC!J19</f>
        <v>-4506.3892839669206</v>
      </c>
      <c r="K84" s="51">
        <f>-WC!K19</f>
        <v>-5506.3176725684025</v>
      </c>
      <c r="M84" s="59" t="s">
        <v>205</v>
      </c>
    </row>
    <row r="85" spans="3:17" outlineLevel="1">
      <c r="C85" s="33" t="s">
        <v>71</v>
      </c>
      <c r="D85" s="51"/>
      <c r="E85" s="72"/>
      <c r="F85" s="74"/>
      <c r="G85" s="51"/>
      <c r="H85" s="51"/>
      <c r="I85" s="51"/>
      <c r="J85" s="51"/>
      <c r="K85" s="51"/>
      <c r="N85" s="18"/>
      <c r="O85" s="18"/>
      <c r="P85" s="18"/>
      <c r="Q85" s="18"/>
    </row>
    <row r="86" spans="3:17" outlineLevel="1">
      <c r="C86" s="33" t="s">
        <v>72</v>
      </c>
      <c r="D86" s="51"/>
      <c r="E86" s="72"/>
      <c r="F86" s="74"/>
      <c r="G86" s="51"/>
      <c r="H86" s="51"/>
      <c r="I86" s="51"/>
      <c r="J86" s="51"/>
      <c r="K86" s="51"/>
    </row>
    <row r="87" spans="3:17" outlineLevel="1">
      <c r="C87" s="33" t="s">
        <v>73</v>
      </c>
      <c r="D87" s="51"/>
      <c r="E87" s="72"/>
      <c r="F87" s="74"/>
      <c r="G87" s="51"/>
      <c r="H87" s="51"/>
      <c r="I87" s="51"/>
      <c r="J87" s="51"/>
      <c r="K87" s="51"/>
    </row>
    <row r="88" spans="3:17" outlineLevel="1">
      <c r="C88" s="33" t="s">
        <v>74</v>
      </c>
      <c r="D88" s="51"/>
      <c r="E88" s="72"/>
      <c r="F88" s="74"/>
      <c r="G88" s="51"/>
      <c r="H88" s="51"/>
      <c r="I88" s="51"/>
      <c r="J88" s="51"/>
      <c r="K88" s="51"/>
    </row>
    <row r="89" spans="3:17" outlineLevel="1">
      <c r="C89" s="33" t="s">
        <v>75</v>
      </c>
      <c r="D89" s="51"/>
      <c r="E89" s="72"/>
      <c r="F89" s="74"/>
      <c r="G89" s="51"/>
      <c r="H89" s="51"/>
      <c r="I89" s="51"/>
      <c r="J89" s="51"/>
      <c r="K89" s="51"/>
    </row>
    <row r="90" spans="3:17">
      <c r="C90" s="7" t="s">
        <v>76</v>
      </c>
      <c r="D90" s="51"/>
      <c r="E90" s="72"/>
      <c r="F90" s="74"/>
      <c r="G90" s="51"/>
      <c r="H90" s="51"/>
      <c r="I90" s="51"/>
      <c r="J90" s="51"/>
      <c r="K90" s="51"/>
    </row>
    <row r="91" spans="3:17">
      <c r="C91" s="4" t="s">
        <v>77</v>
      </c>
      <c r="D91" s="69">
        <f t="shared" ref="D91:K91" si="28">SUM(D82:D90)</f>
        <v>11178</v>
      </c>
      <c r="E91" s="69">
        <f t="shared" si="28"/>
        <v>15498</v>
      </c>
      <c r="F91" s="69">
        <f t="shared" si="28"/>
        <v>18616</v>
      </c>
      <c r="G91" s="69">
        <f t="shared" ca="1" si="28"/>
        <v>100679.44311069635</v>
      </c>
      <c r="H91" s="69">
        <f t="shared" ca="1" si="28"/>
        <v>125263.00325729567</v>
      </c>
      <c r="I91" s="69">
        <f t="shared" ca="1" si="28"/>
        <v>154685.67836588749</v>
      </c>
      <c r="J91" s="69">
        <f t="shared" ca="1" si="28"/>
        <v>190179.15500584582</v>
      </c>
      <c r="K91" s="69">
        <f t="shared" ca="1" si="28"/>
        <v>234241.9667845098</v>
      </c>
    </row>
    <row r="92" spans="3:17">
      <c r="D92" s="51"/>
      <c r="E92" s="72"/>
      <c r="F92" s="74"/>
      <c r="G92" s="51"/>
      <c r="H92" s="51"/>
      <c r="I92" s="51"/>
      <c r="J92" s="51"/>
      <c r="K92" s="51"/>
    </row>
    <row r="93" spans="3:17">
      <c r="D93" s="51"/>
      <c r="E93" s="72"/>
      <c r="F93" s="74"/>
      <c r="G93" s="51"/>
      <c r="H93" s="51"/>
      <c r="I93" s="51"/>
      <c r="J93" s="51"/>
      <c r="K93" s="51"/>
    </row>
    <row r="94" spans="3:17">
      <c r="C94" t="s">
        <v>78</v>
      </c>
      <c r="D94" s="74">
        <v>-27045</v>
      </c>
      <c r="E94" s="74">
        <v>-37256</v>
      </c>
      <c r="F94" s="74">
        <v>-69691</v>
      </c>
      <c r="G94" s="51">
        <f>'D&amp;A'!G6</f>
        <v>-84759.369385958867</v>
      </c>
      <c r="H94" s="51">
        <f>'D&amp;A'!H6</f>
        <v>-103566.7325115812</v>
      </c>
      <c r="I94" s="51">
        <f>'D&amp;A'!I6</f>
        <v>-126547.28510642123</v>
      </c>
      <c r="J94" s="51">
        <f>'D&amp;A'!J6</f>
        <v>-154627.021432921</v>
      </c>
      <c r="K94" s="51">
        <f>'D&amp;A'!K6</f>
        <v>-188937.4057855928</v>
      </c>
      <c r="M94" t="s">
        <v>3</v>
      </c>
    </row>
    <row r="95" spans="3:17">
      <c r="C95" s="7" t="s">
        <v>79</v>
      </c>
      <c r="D95" s="74">
        <v>-629</v>
      </c>
      <c r="E95" s="74">
        <v>-270</v>
      </c>
      <c r="F95" s="74">
        <v>-4231</v>
      </c>
      <c r="G95" s="51">
        <v>0</v>
      </c>
      <c r="H95" s="51">
        <v>0</v>
      </c>
      <c r="I95" s="51">
        <v>0</v>
      </c>
      <c r="J95" s="51">
        <v>0</v>
      </c>
      <c r="K95" s="51">
        <v>0</v>
      </c>
      <c r="M95" t="s">
        <v>3</v>
      </c>
    </row>
    <row r="96" spans="3:17">
      <c r="C96" s="4" t="s">
        <v>80</v>
      </c>
      <c r="D96" s="69">
        <f>SUM(D94:D95)</f>
        <v>-27674</v>
      </c>
      <c r="E96" s="69">
        <f t="shared" ref="E96:K96" si="29">SUM(E94:E95)</f>
        <v>-37526</v>
      </c>
      <c r="F96" s="69">
        <f t="shared" si="29"/>
        <v>-73922</v>
      </c>
      <c r="G96" s="69">
        <f t="shared" si="29"/>
        <v>-84759.369385958867</v>
      </c>
      <c r="H96" s="69">
        <f t="shared" si="29"/>
        <v>-103566.7325115812</v>
      </c>
      <c r="I96" s="69">
        <f t="shared" si="29"/>
        <v>-126547.28510642123</v>
      </c>
      <c r="J96" s="69">
        <f t="shared" si="29"/>
        <v>-154627.021432921</v>
      </c>
      <c r="K96" s="69">
        <f t="shared" si="29"/>
        <v>-188937.4057855928</v>
      </c>
    </row>
    <row r="97" spans="3:13">
      <c r="D97" s="51"/>
      <c r="E97" s="51"/>
      <c r="F97" s="51"/>
      <c r="G97" s="51"/>
      <c r="H97" s="51"/>
      <c r="I97" s="51"/>
      <c r="J97" s="51"/>
      <c r="K97" s="51"/>
    </row>
    <row r="98" spans="3:13">
      <c r="C98" t="s">
        <v>81</v>
      </c>
      <c r="D98" s="51"/>
      <c r="E98" s="51"/>
      <c r="F98" s="51"/>
      <c r="G98" s="51">
        <f>Equity!G6</f>
        <v>0</v>
      </c>
      <c r="H98" s="51">
        <f>Equity!H6</f>
        <v>0</v>
      </c>
      <c r="I98" s="51">
        <f>Equity!I6</f>
        <v>0</v>
      </c>
      <c r="J98" s="51">
        <f>Equity!J6</f>
        <v>0</v>
      </c>
      <c r="K98" s="51">
        <f>Equity!K6</f>
        <v>0</v>
      </c>
      <c r="M98" t="s">
        <v>4</v>
      </c>
    </row>
    <row r="99" spans="3:13">
      <c r="C99" t="s">
        <v>82</v>
      </c>
      <c r="D99" s="51"/>
      <c r="E99" s="51"/>
      <c r="F99" s="51"/>
      <c r="G99" s="51">
        <f>Equity!G7</f>
        <v>0</v>
      </c>
      <c r="H99" s="51">
        <f>Equity!H7</f>
        <v>0</v>
      </c>
      <c r="I99" s="51">
        <f>Equity!I7</f>
        <v>0</v>
      </c>
      <c r="J99" s="51">
        <f>Equity!J7</f>
        <v>0</v>
      </c>
      <c r="K99" s="51">
        <f>Equity!K7</f>
        <v>0</v>
      </c>
      <c r="M99" t="s">
        <v>4</v>
      </c>
    </row>
    <row r="100" spans="3:13">
      <c r="C100" t="s">
        <v>83</v>
      </c>
      <c r="D100" s="51"/>
      <c r="E100" s="51"/>
      <c r="F100" s="51"/>
      <c r="G100" s="51">
        <f>Equity!G12</f>
        <v>-5313</v>
      </c>
      <c r="H100" s="51">
        <f>Equity!H12</f>
        <v>-5313</v>
      </c>
      <c r="I100" s="51">
        <f>Equity!I12</f>
        <v>-5313</v>
      </c>
      <c r="J100" s="51">
        <f>Equity!J12</f>
        <v>-5313</v>
      </c>
      <c r="K100" s="51">
        <f>Equity!K12</f>
        <v>-5313</v>
      </c>
      <c r="M100" t="s">
        <v>4</v>
      </c>
    </row>
    <row r="101" spans="3:13">
      <c r="C101" t="s">
        <v>84</v>
      </c>
      <c r="D101" s="51"/>
      <c r="E101" s="51"/>
      <c r="F101" s="51"/>
      <c r="G101" s="51">
        <f>Debt!G7</f>
        <v>0</v>
      </c>
      <c r="H101" s="51">
        <f>Debt!H7</f>
        <v>0</v>
      </c>
      <c r="I101" s="51">
        <f>Debt!I7</f>
        <v>0</v>
      </c>
      <c r="J101" s="51">
        <f>Debt!J7</f>
        <v>0</v>
      </c>
      <c r="K101" s="51">
        <f>Debt!K7</f>
        <v>0</v>
      </c>
      <c r="M101" t="s">
        <v>144</v>
      </c>
    </row>
    <row r="102" spans="3:13">
      <c r="C102" t="s">
        <v>85</v>
      </c>
      <c r="D102" s="51"/>
      <c r="E102" s="51"/>
      <c r="F102" s="51"/>
      <c r="G102" s="51">
        <f>Debt!G8</f>
        <v>0</v>
      </c>
      <c r="H102" s="51">
        <f>Debt!H8</f>
        <v>-2750</v>
      </c>
      <c r="I102" s="51">
        <f>Debt!I8</f>
        <v>-1500</v>
      </c>
      <c r="J102" s="51">
        <f>Debt!J8</f>
        <v>-1000</v>
      </c>
      <c r="K102" s="51">
        <f>Debt!K8</f>
        <v>-5000</v>
      </c>
      <c r="M102" t="s">
        <v>144</v>
      </c>
    </row>
    <row r="103" spans="3:13">
      <c r="C103" t="s">
        <v>86</v>
      </c>
      <c r="D103" s="51"/>
      <c r="E103" s="51"/>
      <c r="F103" s="51"/>
      <c r="G103" s="51">
        <f>Debt!G17</f>
        <v>0</v>
      </c>
      <c r="H103" s="51">
        <f>Debt!H17</f>
        <v>0</v>
      </c>
      <c r="I103" s="51">
        <f>Debt!I17</f>
        <v>0</v>
      </c>
      <c r="J103" s="51">
        <f>Debt!J17</f>
        <v>0</v>
      </c>
      <c r="K103" s="51">
        <f>Debt!K17</f>
        <v>0</v>
      </c>
      <c r="M103" t="s">
        <v>144</v>
      </c>
    </row>
    <row r="104" spans="3:13">
      <c r="C104" t="s">
        <v>87</v>
      </c>
      <c r="D104" s="51"/>
      <c r="E104" s="51"/>
      <c r="F104" s="51"/>
      <c r="G104" s="51">
        <f>Debt!G18</f>
        <v>-2213</v>
      </c>
      <c r="H104" s="51">
        <f>Debt!H18</f>
        <v>0</v>
      </c>
      <c r="I104" s="51">
        <f>Debt!I18</f>
        <v>0</v>
      </c>
      <c r="J104" s="51">
        <f>Debt!J18</f>
        <v>0</v>
      </c>
      <c r="K104" s="51">
        <f>Debt!K18</f>
        <v>0</v>
      </c>
      <c r="M104" t="s">
        <v>144</v>
      </c>
    </row>
    <row r="105" spans="3:13">
      <c r="C105" t="s">
        <v>88</v>
      </c>
      <c r="D105" s="51"/>
      <c r="E105" s="51"/>
      <c r="F105" s="51"/>
      <c r="G105" s="51">
        <f>Debt!G22</f>
        <v>0</v>
      </c>
      <c r="H105" s="51">
        <f>Debt!H22</f>
        <v>0</v>
      </c>
      <c r="I105" s="51">
        <f>Debt!I22</f>
        <v>0</v>
      </c>
      <c r="J105" s="51">
        <f>Debt!J22</f>
        <v>0</v>
      </c>
      <c r="K105" s="51">
        <f>Debt!K22</f>
        <v>0</v>
      </c>
      <c r="M105" t="s">
        <v>144</v>
      </c>
    </row>
    <row r="106" spans="3:13">
      <c r="C106" t="s">
        <v>89</v>
      </c>
      <c r="D106" s="51"/>
      <c r="E106" s="51"/>
      <c r="F106" s="51"/>
      <c r="G106" s="51">
        <f>Debt!G23</f>
        <v>-998</v>
      </c>
      <c r="H106" s="51">
        <f>Debt!H23</f>
        <v>-3237</v>
      </c>
      <c r="I106" s="51">
        <f>Debt!I23</f>
        <v>-3057</v>
      </c>
      <c r="J106" s="51">
        <f>Debt!J23</f>
        <v>-2985</v>
      </c>
      <c r="K106" s="51">
        <f>Debt!K23</f>
        <v>-2621</v>
      </c>
      <c r="M106" t="s">
        <v>144</v>
      </c>
    </row>
    <row r="107" spans="3:13">
      <c r="C107" s="7" t="s">
        <v>90</v>
      </c>
      <c r="D107" s="51"/>
      <c r="E107" s="51"/>
      <c r="F107" s="51"/>
      <c r="G107" s="51">
        <f ca="1">Debt!G49</f>
        <v>0</v>
      </c>
      <c r="H107" s="51">
        <f ca="1">Debt!H49</f>
        <v>0</v>
      </c>
      <c r="I107" s="51">
        <f ca="1">Debt!I49</f>
        <v>0</v>
      </c>
      <c r="J107" s="51">
        <f ca="1">Debt!J49</f>
        <v>0</v>
      </c>
      <c r="K107" s="51">
        <f ca="1">Debt!K49</f>
        <v>0</v>
      </c>
      <c r="M107" t="s">
        <v>144</v>
      </c>
    </row>
    <row r="108" spans="3:13">
      <c r="C108" s="4" t="s">
        <v>91</v>
      </c>
      <c r="D108" s="51"/>
      <c r="E108" s="51"/>
      <c r="F108" s="51"/>
      <c r="G108" s="69">
        <f ca="1">SUM(G98:G107)</f>
        <v>-8524</v>
      </c>
      <c r="H108" s="69">
        <f ca="1">SUM(H98:H107)</f>
        <v>-11300</v>
      </c>
      <c r="I108" s="69">
        <f ca="1">SUM(I98:I107)</f>
        <v>-9870</v>
      </c>
      <c r="J108" s="69">
        <f ca="1">SUM(J98:J107)</f>
        <v>-9298</v>
      </c>
      <c r="K108" s="69">
        <f ca="1">SUM(K98:K107)</f>
        <v>-12934</v>
      </c>
    </row>
    <row r="109" spans="3:13">
      <c r="D109" s="51"/>
      <c r="E109" s="51"/>
      <c r="F109" s="51"/>
      <c r="G109" s="51"/>
      <c r="H109" s="51"/>
      <c r="I109" s="51"/>
      <c r="J109" s="51"/>
      <c r="K109" s="51"/>
    </row>
    <row r="110" spans="3:13">
      <c r="C110" s="2" t="s">
        <v>92</v>
      </c>
      <c r="D110" s="74"/>
      <c r="E110" s="74"/>
      <c r="F110" s="74"/>
      <c r="G110" s="69">
        <f ca="1">G108+G96+G91</f>
        <v>7396.0737247374782</v>
      </c>
      <c r="H110" s="69">
        <f ca="1">H108+H96+H91</f>
        <v>10396.270745714472</v>
      </c>
      <c r="I110" s="69">
        <f ca="1">I108+I96+I91</f>
        <v>18268.393259466277</v>
      </c>
      <c r="J110" s="69">
        <f ca="1">J108+J96+J91</f>
        <v>26254.133572924824</v>
      </c>
      <c r="K110" s="69">
        <f ca="1">K108+K96+K91</f>
        <v>32370.560998917004</v>
      </c>
    </row>
    <row r="111" spans="3:13">
      <c r="C111" s="2"/>
      <c r="D111" s="51"/>
      <c r="E111" s="51"/>
      <c r="F111" s="51"/>
      <c r="G111" s="51"/>
      <c r="H111" s="51"/>
      <c r="I111" s="51"/>
      <c r="J111" s="51"/>
      <c r="K111" s="51"/>
    </row>
    <row r="112" spans="3:13">
      <c r="C112" t="s">
        <v>93</v>
      </c>
      <c r="D112" s="51"/>
      <c r="E112" s="51"/>
      <c r="F112" s="51"/>
      <c r="G112" s="51">
        <f>F114</f>
        <v>35873</v>
      </c>
      <c r="H112" s="51">
        <f ca="1">G114</f>
        <v>43269.073724737478</v>
      </c>
      <c r="I112" s="51">
        <f ca="1">H114</f>
        <v>53665.34447045195</v>
      </c>
      <c r="J112" s="51">
        <f ca="1">I114</f>
        <v>71933.737729918226</v>
      </c>
      <c r="K112" s="51">
        <f ca="1">J114</f>
        <v>98187.87130284305</v>
      </c>
    </row>
    <row r="113" spans="2:12">
      <c r="C113" s="2" t="s">
        <v>94</v>
      </c>
      <c r="D113" s="51"/>
      <c r="E113" s="72"/>
      <c r="F113" s="51"/>
      <c r="G113" s="51">
        <f ca="1">G110</f>
        <v>7396.0737247374782</v>
      </c>
      <c r="H113" s="51">
        <f ca="1">H110</f>
        <v>10396.270745714472</v>
      </c>
      <c r="I113" s="51">
        <f ca="1">I110</f>
        <v>18268.393259466277</v>
      </c>
      <c r="J113" s="51">
        <f ca="1">J110</f>
        <v>26254.133572924824</v>
      </c>
      <c r="K113" s="51">
        <f ca="1">K110</f>
        <v>32370.560998917004</v>
      </c>
    </row>
    <row r="114" spans="2:12">
      <c r="C114" s="38" t="s">
        <v>95</v>
      </c>
      <c r="D114" s="51"/>
      <c r="E114" s="51"/>
      <c r="F114" s="82">
        <f>F34</f>
        <v>35873</v>
      </c>
      <c r="G114" s="69">
        <f ca="1">SUM(G112:G113)</f>
        <v>43269.073724737478</v>
      </c>
      <c r="H114" s="69">
        <f ca="1">SUM(H112:H113)</f>
        <v>53665.34447045195</v>
      </c>
      <c r="I114" s="69">
        <f ca="1">SUM(I112:I113)</f>
        <v>71933.737729918226</v>
      </c>
      <c r="J114" s="69">
        <f ca="1">SUM(J112:J113)</f>
        <v>98187.87130284305</v>
      </c>
      <c r="K114" s="69">
        <f ca="1">SUM(K112:K113)</f>
        <v>130558.43230176005</v>
      </c>
    </row>
    <row r="115" spans="2:12">
      <c r="D115" s="72"/>
      <c r="E115" s="72"/>
      <c r="F115" s="72"/>
      <c r="G115" s="72"/>
      <c r="H115" s="72"/>
      <c r="I115" s="72"/>
      <c r="J115" s="72"/>
      <c r="K115" s="72"/>
    </row>
    <row r="116" spans="2:12">
      <c r="B116" t="s">
        <v>1</v>
      </c>
      <c r="C116" s="38" t="s">
        <v>96</v>
      </c>
      <c r="D116" s="83"/>
      <c r="E116" s="83"/>
      <c r="F116" s="83"/>
      <c r="G116" s="83"/>
      <c r="H116" s="83"/>
      <c r="I116" s="83"/>
      <c r="J116" s="83"/>
      <c r="K116" s="83"/>
    </row>
    <row r="118" spans="2:12">
      <c r="D118" s="12"/>
      <c r="E118" s="12"/>
      <c r="F118" s="12"/>
      <c r="G118" s="43"/>
      <c r="H118" s="43"/>
      <c r="I118" s="43"/>
      <c r="J118" s="43"/>
      <c r="K118" s="43"/>
      <c r="L118" s="43"/>
    </row>
    <row r="119" spans="2:12">
      <c r="D119" s="44"/>
      <c r="E119" s="44"/>
      <c r="F119" s="44"/>
      <c r="G119" s="45"/>
      <c r="H119" s="43"/>
      <c r="I119" s="43"/>
      <c r="J119" s="43"/>
      <c r="K119" s="43"/>
      <c r="L119" s="43"/>
    </row>
    <row r="120" spans="2:12">
      <c r="D120" s="12"/>
      <c r="E120" s="12"/>
      <c r="F120" s="12"/>
      <c r="G120" s="43"/>
      <c r="H120" s="43"/>
      <c r="I120" s="43"/>
      <c r="J120" s="43"/>
      <c r="K120" s="43"/>
      <c r="L120" s="43"/>
    </row>
    <row r="121" spans="2:12">
      <c r="D121" s="12"/>
      <c r="E121" s="12"/>
      <c r="F121" s="12"/>
      <c r="G121" s="43"/>
      <c r="H121" s="43"/>
      <c r="I121" s="43"/>
      <c r="J121" s="43"/>
      <c r="K121" s="43"/>
      <c r="L121" s="43"/>
    </row>
    <row r="122" spans="2:12">
      <c r="D122" s="12"/>
      <c r="E122" s="12"/>
      <c r="F122" s="12"/>
      <c r="G122" s="43"/>
      <c r="H122" s="43"/>
      <c r="I122" s="43"/>
      <c r="J122" s="43"/>
      <c r="K122" s="43"/>
      <c r="L122" s="43"/>
    </row>
    <row r="123" spans="2:12">
      <c r="D123" s="12"/>
      <c r="E123" s="12"/>
      <c r="F123" s="12"/>
      <c r="G123" s="43"/>
      <c r="H123" s="43"/>
      <c r="I123" s="43"/>
      <c r="J123" s="43"/>
      <c r="K123" s="43"/>
      <c r="L123" s="43"/>
    </row>
    <row r="124" spans="2:12">
      <c r="D124" s="12"/>
      <c r="E124" s="12"/>
      <c r="F124" s="12"/>
      <c r="G124" s="43"/>
      <c r="H124" s="43"/>
      <c r="I124" s="43"/>
      <c r="J124" s="43"/>
      <c r="K124" s="43"/>
      <c r="L124" s="43"/>
    </row>
    <row r="125" spans="2:12">
      <c r="D125" s="12"/>
      <c r="E125" s="12"/>
      <c r="F125" s="43"/>
      <c r="G125" s="43"/>
      <c r="H125" s="43"/>
      <c r="I125" s="43"/>
      <c r="J125" s="43"/>
      <c r="K125" s="43"/>
      <c r="L125" s="43"/>
    </row>
    <row r="126" spans="2:12">
      <c r="D126" s="12"/>
      <c r="E126" s="12"/>
      <c r="F126" s="12"/>
      <c r="G126" s="43"/>
      <c r="H126" s="43"/>
      <c r="I126" s="43"/>
      <c r="J126" s="43"/>
      <c r="K126" s="43"/>
      <c r="L126" s="43"/>
    </row>
    <row r="127" spans="2:12">
      <c r="D127" s="12"/>
      <c r="E127" s="12"/>
      <c r="F127" s="12"/>
      <c r="G127" s="43"/>
      <c r="H127" s="43"/>
      <c r="I127" s="43"/>
      <c r="J127" s="43"/>
      <c r="K127" s="43"/>
      <c r="L127" s="43"/>
    </row>
    <row r="128" spans="2:12">
      <c r="D128" s="12"/>
      <c r="E128" s="12"/>
      <c r="F128" s="12"/>
      <c r="G128" s="43"/>
      <c r="H128" s="43"/>
      <c r="I128" s="43"/>
      <c r="J128" s="43"/>
      <c r="K128" s="43"/>
      <c r="L128" s="43"/>
    </row>
    <row r="129" spans="4:12">
      <c r="D129" s="12"/>
      <c r="E129" s="12"/>
      <c r="F129" s="12"/>
      <c r="G129" s="43"/>
      <c r="H129" s="43"/>
      <c r="I129" s="43"/>
      <c r="J129" s="43"/>
      <c r="K129" s="43"/>
      <c r="L129" s="43"/>
    </row>
    <row r="130" spans="4:12">
      <c r="D130" s="12"/>
      <c r="E130" s="12"/>
      <c r="F130" s="12"/>
      <c r="G130" s="43"/>
      <c r="H130" s="43"/>
      <c r="I130" s="43"/>
      <c r="J130" s="43"/>
      <c r="K130" s="43"/>
      <c r="L130" s="43"/>
    </row>
    <row r="131" spans="4:12">
      <c r="D131" s="12"/>
      <c r="E131" s="12"/>
      <c r="F131" s="12"/>
      <c r="G131" s="43"/>
      <c r="H131" s="43"/>
      <c r="I131" s="43"/>
      <c r="J131" s="43"/>
      <c r="K131" s="43"/>
      <c r="L131" s="43"/>
    </row>
    <row r="132" spans="4:12">
      <c r="D132" s="12"/>
      <c r="E132" s="12"/>
      <c r="F132" s="12"/>
      <c r="G132" s="43"/>
      <c r="H132" s="43"/>
      <c r="I132" s="43"/>
      <c r="J132" s="43"/>
      <c r="K132" s="43"/>
      <c r="L132" s="43"/>
    </row>
    <row r="133" spans="4:12">
      <c r="D133" s="12"/>
      <c r="E133" s="12"/>
      <c r="F133" s="12"/>
      <c r="G133" s="43"/>
      <c r="H133" s="43"/>
      <c r="I133" s="43"/>
      <c r="J133" s="43"/>
      <c r="K133" s="43"/>
      <c r="L133" s="43"/>
    </row>
    <row r="134" spans="4:12">
      <c r="D134" s="12"/>
      <c r="E134" s="12"/>
      <c r="F134" s="12"/>
      <c r="G134" s="43"/>
      <c r="H134" s="43"/>
      <c r="I134" s="43"/>
      <c r="J134" s="43"/>
      <c r="K134" s="43"/>
      <c r="L134" s="43"/>
    </row>
    <row r="135" spans="4:12">
      <c r="D135" s="12"/>
      <c r="E135" s="12"/>
      <c r="F135" s="12"/>
      <c r="G135" s="43"/>
      <c r="H135" s="43"/>
      <c r="I135" s="43"/>
      <c r="J135" s="43"/>
      <c r="K135" s="43"/>
      <c r="L135" s="43"/>
    </row>
    <row r="136" spans="4:12">
      <c r="D136" s="12"/>
      <c r="E136" s="12"/>
      <c r="F136" s="12"/>
      <c r="G136" s="43"/>
      <c r="H136" s="43"/>
      <c r="I136" s="43"/>
      <c r="J136" s="43"/>
      <c r="K136" s="43"/>
      <c r="L136" s="43"/>
    </row>
    <row r="137" spans="4:12">
      <c r="D137" s="12"/>
      <c r="E137" s="12"/>
      <c r="F137" s="12"/>
      <c r="G137" s="43"/>
      <c r="H137" s="43"/>
      <c r="I137" s="43"/>
      <c r="J137" s="43"/>
      <c r="K137" s="43"/>
      <c r="L137" s="43"/>
    </row>
    <row r="138" spans="4:12">
      <c r="D138" s="12"/>
      <c r="E138" s="12"/>
      <c r="F138" s="12"/>
      <c r="G138" s="43"/>
      <c r="H138" s="43"/>
      <c r="I138" s="43"/>
      <c r="J138" s="43"/>
      <c r="K138" s="43"/>
      <c r="L138" s="43"/>
    </row>
    <row r="139" spans="4:12">
      <c r="D139" s="12"/>
      <c r="E139" s="12"/>
      <c r="F139" s="12"/>
      <c r="G139" s="43"/>
      <c r="H139" s="43"/>
      <c r="I139" s="43"/>
      <c r="J139" s="43"/>
      <c r="K139" s="43"/>
      <c r="L139" s="43"/>
    </row>
  </sheetData>
  <autoFilter ref="C2:C116" xr:uid="{A8C3DAD1-7991-483E-9C78-B830B96DAC60}"/>
  <mergeCells count="5">
    <mergeCell ref="D3:K3"/>
    <mergeCell ref="D31:K31"/>
    <mergeCell ref="D80:K80"/>
    <mergeCell ref="D25:K25"/>
    <mergeCell ref="G2:K2"/>
  </mergeCells>
  <pageMargins left="0.7" right="0.7" top="0.75" bottom="0.75" header="0.3" footer="0.3"/>
  <pageSetup orientation="portrait" r:id="rId1"/>
  <ignoredErrors>
    <ignoredError sqref="G43:K43 G45:K45 G39:K39" 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964A-266A-485F-B910-D0E623DB9438}">
  <dimension ref="B1:S57"/>
  <sheetViews>
    <sheetView workbookViewId="0"/>
  </sheetViews>
  <sheetFormatPr defaultRowHeight="14.4"/>
  <cols>
    <col min="2" max="2" width="2" bestFit="1" customWidth="1"/>
    <col min="3" max="3" width="20.21875" bestFit="1" customWidth="1"/>
    <col min="6" max="6" width="11.77734375" bestFit="1" customWidth="1"/>
    <col min="9" max="9" width="9.44140625" bestFit="1" customWidth="1"/>
    <col min="16" max="16" width="19.109375" bestFit="1" customWidth="1"/>
    <col min="17" max="17" width="31.77734375" bestFit="1" customWidth="1"/>
    <col min="19" max="19" width="18.109375" bestFit="1" customWidth="1"/>
  </cols>
  <sheetData>
    <row r="1" spans="2:19">
      <c r="P1" s="1" t="s">
        <v>276</v>
      </c>
      <c r="S1" s="1" t="s">
        <v>279</v>
      </c>
    </row>
    <row r="2" spans="2:19">
      <c r="P2" t="s">
        <v>246</v>
      </c>
      <c r="Q2" t="s">
        <v>249</v>
      </c>
      <c r="S2" t="s">
        <v>280</v>
      </c>
    </row>
    <row r="3" spans="2:19">
      <c r="I3" s="152" t="s">
        <v>6</v>
      </c>
      <c r="J3" s="152"/>
      <c r="K3" s="152"/>
      <c r="L3" s="152"/>
      <c r="M3" s="152"/>
      <c r="P3" t="s">
        <v>247</v>
      </c>
      <c r="Q3" t="s">
        <v>271</v>
      </c>
    </row>
    <row r="4" spans="2:19">
      <c r="C4" s="5" t="s">
        <v>245</v>
      </c>
      <c r="D4" s="153" t="s">
        <v>2</v>
      </c>
      <c r="E4" s="153"/>
      <c r="F4" s="153"/>
      <c r="G4" s="153"/>
      <c r="H4" s="153"/>
      <c r="I4" s="153"/>
      <c r="J4" s="153"/>
      <c r="K4" s="153"/>
      <c r="L4" s="153"/>
      <c r="M4" s="153"/>
      <c r="N4" s="5"/>
      <c r="P4" t="s">
        <v>248</v>
      </c>
      <c r="Q4" t="s">
        <v>250</v>
      </c>
    </row>
    <row r="5" spans="2:19">
      <c r="D5" s="154" t="s">
        <v>281</v>
      </c>
      <c r="E5" s="154"/>
      <c r="F5" s="61">
        <v>2023</v>
      </c>
      <c r="G5" s="62">
        <f>F5+1</f>
        <v>2024</v>
      </c>
      <c r="H5" s="62">
        <f t="shared" ref="H5:M5" si="0">G5+1</f>
        <v>2025</v>
      </c>
      <c r="I5" s="55">
        <f t="shared" si="0"/>
        <v>2026</v>
      </c>
      <c r="J5" s="55">
        <f t="shared" si="0"/>
        <v>2027</v>
      </c>
      <c r="K5" s="55">
        <f t="shared" si="0"/>
        <v>2028</v>
      </c>
      <c r="L5" s="55">
        <f t="shared" si="0"/>
        <v>2029</v>
      </c>
      <c r="M5" s="55">
        <f t="shared" si="0"/>
        <v>2030</v>
      </c>
      <c r="N5" s="55"/>
      <c r="P5" s="101" t="s">
        <v>268</v>
      </c>
      <c r="Q5" s="101" t="s">
        <v>270</v>
      </c>
    </row>
    <row r="6" spans="2:19">
      <c r="P6" t="s">
        <v>273</v>
      </c>
      <c r="Q6" t="s">
        <v>274</v>
      </c>
    </row>
    <row r="7" spans="2:19">
      <c r="C7" s="3" t="s">
        <v>251</v>
      </c>
      <c r="D7" s="71"/>
      <c r="E7" s="71"/>
      <c r="F7" s="71"/>
      <c r="G7" s="71"/>
      <c r="H7" s="71"/>
      <c r="I7" s="51">
        <f>'Operating Model - IS, BS, CF'!G18</f>
        <v>96357.34277111289</v>
      </c>
      <c r="J7" s="51">
        <f>'Operating Model - IS, BS, CF'!H18</f>
        <v>117738.19480487745</v>
      </c>
      <c r="K7" s="51">
        <f>'Operating Model - IS, BS, CF'!I18</f>
        <v>143863.27099990417</v>
      </c>
      <c r="L7" s="51">
        <f>'Operating Model - IS, BS, CF'!J18</f>
        <v>175785.27322498476</v>
      </c>
      <c r="M7" s="51">
        <f>'Operating Model - IS, BS, CF'!K18</f>
        <v>214790.48869119023</v>
      </c>
    </row>
    <row r="8" spans="2:19">
      <c r="C8" s="3" t="s">
        <v>252</v>
      </c>
      <c r="D8" s="71"/>
      <c r="E8" s="71"/>
      <c r="F8" s="71"/>
      <c r="G8" s="71"/>
      <c r="H8" s="71"/>
      <c r="I8" s="129">
        <f>Assumption!G27</f>
        <v>0.21</v>
      </c>
      <c r="J8" s="129">
        <f>Assumption!H27</f>
        <v>0.21</v>
      </c>
      <c r="K8" s="129">
        <f>Assumption!I27</f>
        <v>0.21</v>
      </c>
      <c r="L8" s="129">
        <f>Assumption!J27</f>
        <v>0.21</v>
      </c>
      <c r="M8" s="129">
        <f>Assumption!K27</f>
        <v>0.21</v>
      </c>
      <c r="P8" s="1" t="s">
        <v>258</v>
      </c>
    </row>
    <row r="9" spans="2:19" ht="15" thickBot="1">
      <c r="C9" s="4" t="s">
        <v>256</v>
      </c>
      <c r="D9" s="71"/>
      <c r="E9" s="71"/>
      <c r="F9" s="71"/>
      <c r="G9" s="71"/>
      <c r="H9" s="71"/>
      <c r="I9" s="130">
        <f>I7-I7*I8</f>
        <v>76122.300789179179</v>
      </c>
      <c r="J9" s="130">
        <f t="shared" ref="J9:M9" si="1">J7-J7*J8</f>
        <v>93013.173895853193</v>
      </c>
      <c r="K9" s="130">
        <f t="shared" si="1"/>
        <v>113651.9840899243</v>
      </c>
      <c r="L9" s="130">
        <f t="shared" si="1"/>
        <v>138870.36584773796</v>
      </c>
      <c r="M9" s="130">
        <f t="shared" si="1"/>
        <v>169684.48606604029</v>
      </c>
      <c r="P9" t="s">
        <v>4</v>
      </c>
      <c r="Q9" s="51">
        <f>610*D32</f>
        <v>1543300</v>
      </c>
    </row>
    <row r="10" spans="2:19">
      <c r="B10" s="1" t="s">
        <v>119</v>
      </c>
      <c r="C10" s="3" t="s">
        <v>253</v>
      </c>
      <c r="D10" s="71"/>
      <c r="E10" s="71"/>
      <c r="F10" s="71"/>
      <c r="G10" s="71"/>
      <c r="H10" s="71"/>
      <c r="I10" s="51">
        <f>'Operating Model - IS, BS, CF'!G94</f>
        <v>-84759.369385958867</v>
      </c>
      <c r="J10" s="51">
        <f>'Operating Model - IS, BS, CF'!H94</f>
        <v>-103566.7325115812</v>
      </c>
      <c r="K10" s="51">
        <f>'Operating Model - IS, BS, CF'!I94</f>
        <v>-126547.28510642123</v>
      </c>
      <c r="L10" s="51">
        <f>'Operating Model - IS, BS, CF'!J94</f>
        <v>-154627.021432921</v>
      </c>
      <c r="M10" s="51">
        <f>'Operating Model - IS, BS, CF'!K94</f>
        <v>-188937.4057855928</v>
      </c>
      <c r="P10" t="s">
        <v>144</v>
      </c>
      <c r="Q10" s="51">
        <f>'Operating Model - IS, BS, CF'!F55+'Operating Model - IS, BS, CF'!F56+'Operating Model - IS, BS, CF'!F57+'Operating Model - IS, BS, CF'!F62+'Operating Model - IS, BS, CF'!F63</f>
        <v>83897</v>
      </c>
    </row>
    <row r="11" spans="2:19">
      <c r="B11" s="1" t="s">
        <v>118</v>
      </c>
      <c r="C11" s="3" t="s">
        <v>3</v>
      </c>
      <c r="D11" s="71"/>
      <c r="E11" s="71"/>
      <c r="F11" s="71"/>
      <c r="G11" s="71"/>
      <c r="H11" s="71"/>
      <c r="I11" s="51">
        <f>'Operating Model - IS, BS, CF'!G27</f>
        <v>28477.516464800327</v>
      </c>
      <c r="J11" s="51">
        <f>'Operating Model - IS, BS, CF'!H27</f>
        <v>36337.669908743221</v>
      </c>
      <c r="K11" s="51">
        <f>'Operating Model - IS, BS, CF'!I27</f>
        <v>45469.590026527476</v>
      </c>
      <c r="L11" s="51">
        <f>'Operating Model - IS, BS, CF'!J27</f>
        <v>56194.536132729336</v>
      </c>
      <c r="M11" s="51">
        <f>'Operating Model - IS, BS, CF'!K27</f>
        <v>70021.310188092582</v>
      </c>
      <c r="P11" t="s">
        <v>265</v>
      </c>
      <c r="Q11" s="131">
        <f>Q9/SUM(Q9:Q10)</f>
        <v>0.94844078498178153</v>
      </c>
    </row>
    <row r="12" spans="2:19">
      <c r="B12" s="1" t="s">
        <v>119</v>
      </c>
      <c r="C12" s="3" t="s">
        <v>254</v>
      </c>
      <c r="D12" s="71"/>
      <c r="E12" s="71"/>
      <c r="F12" s="71"/>
      <c r="G12" s="71"/>
      <c r="H12" s="71"/>
      <c r="I12" s="51">
        <f>'Operating Model - IS, BS, CF'!G84</f>
        <v>-2727.6460318365571</v>
      </c>
      <c r="J12" s="51">
        <f>'Operating Model - IS, BS, CF'!H84</f>
        <v>-3018.3082441908409</v>
      </c>
      <c r="K12" s="51">
        <f>'Operating Model - IS, BS, CF'!I84</f>
        <v>-3688.0444584265133</v>
      </c>
      <c r="L12" s="51">
        <f>'Operating Model - IS, BS, CF'!J84</f>
        <v>-4506.3892839669206</v>
      </c>
      <c r="M12" s="51">
        <f>'Operating Model - IS, BS, CF'!K84</f>
        <v>-5506.3176725684025</v>
      </c>
      <c r="P12" t="s">
        <v>266</v>
      </c>
      <c r="Q12" s="131">
        <f>Q10/SUM(Q9:Q10)</f>
        <v>5.1559215018218446E-2</v>
      </c>
    </row>
    <row r="13" spans="2:19" ht="15" thickBot="1">
      <c r="C13" s="4" t="s">
        <v>255</v>
      </c>
      <c r="D13" s="71"/>
      <c r="E13" s="71"/>
      <c r="F13" s="71"/>
      <c r="G13" s="71"/>
      <c r="H13" s="71"/>
      <c r="I13" s="130">
        <f>SUM(I9:I12)</f>
        <v>17112.80183618408</v>
      </c>
      <c r="J13" s="130">
        <f>SUM(J9:J12)</f>
        <v>22765.803048824375</v>
      </c>
      <c r="K13" s="130">
        <f>SUM(K9:K12)</f>
        <v>28886.244551604032</v>
      </c>
      <c r="L13" s="130">
        <f>SUM(L9:L12)</f>
        <v>35931.491263579381</v>
      </c>
      <c r="M13" s="130">
        <f>SUM(M9:M12)</f>
        <v>45262.072795971675</v>
      </c>
      <c r="P13" t="s">
        <v>267</v>
      </c>
      <c r="Q13" s="105">
        <f>Q23</f>
        <v>0.1076</v>
      </c>
    </row>
    <row r="14" spans="2:19">
      <c r="C14" s="33" t="s">
        <v>257</v>
      </c>
      <c r="J14" s="53">
        <f>J13/I13-1</f>
        <v>0.3303375605441381</v>
      </c>
      <c r="K14" s="53">
        <f t="shared" ref="K14:M14" si="2">K13/J13-1</f>
        <v>0.26884364630817248</v>
      </c>
      <c r="L14" s="53">
        <f t="shared" si="2"/>
        <v>0.243896249628065</v>
      </c>
      <c r="M14" s="53">
        <f t="shared" si="2"/>
        <v>0.25967699097003227</v>
      </c>
      <c r="P14" t="s">
        <v>259</v>
      </c>
      <c r="Q14" s="105">
        <f>Debt!P11</f>
        <v>4.8423728813559323E-2</v>
      </c>
    </row>
    <row r="15" spans="2:19">
      <c r="D15" s="1" t="s">
        <v>276</v>
      </c>
      <c r="E15" s="1" t="s">
        <v>277</v>
      </c>
      <c r="F15" s="1"/>
      <c r="P15" t="s">
        <v>252</v>
      </c>
      <c r="Q15" s="17">
        <f>Assumption!F27</f>
        <v>0.21</v>
      </c>
    </row>
    <row r="16" spans="2:19">
      <c r="C16" s="1" t="s">
        <v>247</v>
      </c>
      <c r="D16" s="113">
        <v>0.05</v>
      </c>
      <c r="E16" s="17"/>
      <c r="F16" s="17"/>
      <c r="P16" s="91" t="s">
        <v>264</v>
      </c>
      <c r="Q16" s="132">
        <f>Q11*Q13+Q12*Q14*(1-Q15)</f>
        <v>0.10402461312628664</v>
      </c>
    </row>
    <row r="17" spans="2:18">
      <c r="C17" s="1" t="s">
        <v>278</v>
      </c>
      <c r="D17" s="17"/>
      <c r="E17" s="12">
        <v>12</v>
      </c>
    </row>
    <row r="18" spans="2:18">
      <c r="C18" s="1"/>
    </row>
    <row r="19" spans="2:18">
      <c r="C19" s="1" t="s">
        <v>269</v>
      </c>
      <c r="D19" s="51">
        <f>M13*(1+D16)/(Q16-D16)</f>
        <v>879694.896188827</v>
      </c>
      <c r="E19" s="51">
        <f>E17*'Operating Model - IS, BS, CF'!K26</f>
        <v>3417741.5865513934</v>
      </c>
      <c r="F19" s="51"/>
      <c r="P19" s="1" t="s">
        <v>260</v>
      </c>
    </row>
    <row r="20" spans="2:18">
      <c r="P20" t="s">
        <v>263</v>
      </c>
      <c r="Q20" s="135">
        <v>4.5600000000000002E-2</v>
      </c>
      <c r="R20" t="s">
        <v>289</v>
      </c>
    </row>
    <row r="21" spans="2:18">
      <c r="C21" t="s">
        <v>272</v>
      </c>
      <c r="D21" s="72">
        <f>SUM(I21:M21)</f>
        <v>107425.79093019904</v>
      </c>
      <c r="E21" s="72">
        <f>SUM(I21:M21)</f>
        <v>107425.79093019904</v>
      </c>
      <c r="F21" s="72"/>
      <c r="I21" s="51">
        <f>I13/(1+$Q$16)^(I5-$H$5)</f>
        <v>15500.380727677302</v>
      </c>
      <c r="J21" s="51">
        <f>J13/(1+$Q$16)^(J5-$H$5)</f>
        <v>18677.788918465751</v>
      </c>
      <c r="K21" s="51">
        <f>K13/(1+$Q$16)^(K5-$H$5)</f>
        <v>21466.182469583739</v>
      </c>
      <c r="L21" s="51">
        <f>L13/(1+$Q$16)^(L5-$H$5)</f>
        <v>24185.786757176757</v>
      </c>
      <c r="M21" s="51">
        <f>M13/(1+$Q$16)^(M5-$H$5)</f>
        <v>27595.652057295494</v>
      </c>
      <c r="P21" t="s">
        <v>261</v>
      </c>
      <c r="Q21" s="134">
        <v>1.24</v>
      </c>
      <c r="R21" t="s">
        <v>291</v>
      </c>
    </row>
    <row r="22" spans="2:18">
      <c r="C22" t="s">
        <v>273</v>
      </c>
      <c r="D22" s="72">
        <f>D19/(1+$Q$16)^($M$5-$H$5)</f>
        <v>536337.66136238666</v>
      </c>
      <c r="E22" s="72">
        <f>E19/(1+$Q$16)^($M$5-$H$5)</f>
        <v>2083749.1926047043</v>
      </c>
      <c r="F22" s="72"/>
      <c r="P22" t="s">
        <v>262</v>
      </c>
      <c r="Q22" s="135">
        <v>0.05</v>
      </c>
      <c r="R22" t="s">
        <v>290</v>
      </c>
    </row>
    <row r="23" spans="2:18">
      <c r="C23" s="101" t="s">
        <v>275</v>
      </c>
      <c r="D23" s="133">
        <f>SUM(D21:D22)</f>
        <v>643763.45229258575</v>
      </c>
      <c r="E23" s="133">
        <f>SUM(E21:E22)</f>
        <v>2191174.9835349033</v>
      </c>
      <c r="F23" s="72"/>
      <c r="P23" s="91" t="s">
        <v>260</v>
      </c>
      <c r="Q23" s="132">
        <f>Q20+Q21*Q22</f>
        <v>0.1076</v>
      </c>
    </row>
    <row r="24" spans="2:18">
      <c r="B24" t="s">
        <v>119</v>
      </c>
      <c r="C24" t="s">
        <v>144</v>
      </c>
      <c r="D24" s="72">
        <f>-('Operating Model - IS, BS, CF'!F55+'Operating Model - IS, BS, CF'!F56+'Operating Model - IS, BS, CF'!F62)</f>
        <v>-58744</v>
      </c>
      <c r="E24" s="72">
        <f>D24</f>
        <v>-58744</v>
      </c>
    </row>
    <row r="25" spans="2:18">
      <c r="B25" t="s">
        <v>119</v>
      </c>
      <c r="C25" t="s">
        <v>282</v>
      </c>
      <c r="D25" s="72">
        <v>0</v>
      </c>
      <c r="E25" s="72">
        <f t="shared" ref="E25:E28" si="3">D25</f>
        <v>0</v>
      </c>
    </row>
    <row r="26" spans="2:18">
      <c r="B26" t="s">
        <v>119</v>
      </c>
      <c r="C26" t="s">
        <v>283</v>
      </c>
      <c r="D26" s="72">
        <v>0</v>
      </c>
      <c r="E26" s="72">
        <f t="shared" si="3"/>
        <v>0</v>
      </c>
    </row>
    <row r="27" spans="2:18">
      <c r="B27" t="s">
        <v>119</v>
      </c>
      <c r="C27" t="s">
        <v>284</v>
      </c>
      <c r="D27" s="72">
        <f>-1*('Operating Model - IS, BS, CF'!F57+'Operating Model - IS, BS, CF'!F63)</f>
        <v>-25153</v>
      </c>
      <c r="E27" s="72">
        <f t="shared" si="3"/>
        <v>-25153</v>
      </c>
    </row>
    <row r="28" spans="2:18">
      <c r="B28" t="s">
        <v>118</v>
      </c>
      <c r="C28" t="s">
        <v>285</v>
      </c>
      <c r="D28" s="72">
        <f>('Operating Model - IS, BS, CF'!F34+'Operating Model - IS, BS, CF'!F35)</f>
        <v>81592</v>
      </c>
      <c r="E28" s="72">
        <f t="shared" si="3"/>
        <v>81592</v>
      </c>
    </row>
    <row r="29" spans="2:18">
      <c r="D29" s="72"/>
      <c r="E29" s="72"/>
    </row>
    <row r="30" spans="2:18">
      <c r="C30" s="1" t="s">
        <v>286</v>
      </c>
      <c r="D30" s="72">
        <f>SUM(D23:D28)</f>
        <v>641458.45229258575</v>
      </c>
      <c r="E30" s="72">
        <f>SUM(E23:E28)</f>
        <v>2188869.9835349033</v>
      </c>
    </row>
    <row r="31" spans="2:18">
      <c r="D31" s="72"/>
      <c r="E31" s="72"/>
    </row>
    <row r="32" spans="2:18">
      <c r="C32" t="s">
        <v>287</v>
      </c>
      <c r="D32" s="72">
        <f>Assumption!F37</f>
        <v>2530</v>
      </c>
      <c r="E32" s="72">
        <f>D32</f>
        <v>2530</v>
      </c>
    </row>
    <row r="33" spans="3:11">
      <c r="D33" s="72"/>
      <c r="E33" s="72"/>
    </row>
    <row r="34" spans="3:11">
      <c r="C34" t="s">
        <v>288</v>
      </c>
      <c r="D34" s="72">
        <f>D30/D32</f>
        <v>253.54089023422361</v>
      </c>
      <c r="E34" s="72">
        <f>E30/E32</f>
        <v>865.16600139719492</v>
      </c>
    </row>
    <row r="36" spans="3:11">
      <c r="F36" s="150" t="s">
        <v>292</v>
      </c>
      <c r="G36" s="150"/>
      <c r="H36" s="150"/>
      <c r="I36" s="150"/>
      <c r="J36" s="150"/>
      <c r="K36" s="150"/>
    </row>
    <row r="37" spans="3:11">
      <c r="H37" s="151" t="s">
        <v>264</v>
      </c>
      <c r="I37" s="151"/>
      <c r="J37" s="151"/>
      <c r="K37" s="151"/>
    </row>
    <row r="38" spans="3:11">
      <c r="G38" s="139">
        <f>D34</f>
        <v>253.54089023422361</v>
      </c>
      <c r="H38" s="137">
        <v>0.08</v>
      </c>
      <c r="I38" s="137">
        <v>8.5000000000000006E-2</v>
      </c>
      <c r="J38" s="137">
        <v>8.8280551256074383E-2</v>
      </c>
      <c r="K38" s="137">
        <v>9.5000000000000001E-2</v>
      </c>
    </row>
    <row r="39" spans="3:11">
      <c r="F39" s="148" t="s">
        <v>293</v>
      </c>
      <c r="G39" s="142">
        <v>0.03</v>
      </c>
      <c r="H39" s="143">
        <f t="dataTable" ref="H39:K42" dt2D="1" dtr="1" r1="Q16" r2="D16"/>
        <v>295.56491647646163</v>
      </c>
      <c r="I39" s="143">
        <v>266.86381290006977</v>
      </c>
      <c r="J39" s="143">
        <v>250.72508115436392</v>
      </c>
      <c r="K39" s="143">
        <v>222.79063732231987</v>
      </c>
    </row>
    <row r="40" spans="3:11">
      <c r="F40" s="148"/>
      <c r="G40" s="137">
        <v>0.04</v>
      </c>
      <c r="H40" s="18">
        <v>361.31387834303354</v>
      </c>
      <c r="I40" s="18">
        <v>319.02167257545966</v>
      </c>
      <c r="J40" s="18">
        <v>296.05183055025913</v>
      </c>
      <c r="K40" s="18">
        <v>257.59882362560415</v>
      </c>
    </row>
    <row r="41" spans="3:11">
      <c r="F41" s="148"/>
      <c r="G41" s="137">
        <v>0.05</v>
      </c>
      <c r="H41" s="18">
        <v>470.89548145398697</v>
      </c>
      <c r="I41" s="18">
        <v>400.9840234939295</v>
      </c>
      <c r="J41" s="18">
        <v>365.0599261695595</v>
      </c>
      <c r="K41" s="18">
        <v>307.87731495257026</v>
      </c>
    </row>
    <row r="42" spans="3:11" ht="15" thickBot="1">
      <c r="F42" s="149"/>
      <c r="G42" s="138">
        <v>0.06</v>
      </c>
      <c r="H42" s="140">
        <v>690.05868767589334</v>
      </c>
      <c r="I42" s="140">
        <v>548.51625514717512</v>
      </c>
      <c r="J42" s="140">
        <v>482.87053274025288</v>
      </c>
      <c r="K42" s="140">
        <v>386.88637275208833</v>
      </c>
    </row>
    <row r="43" spans="3:11" ht="15" thickTop="1"/>
    <row r="44" spans="3:11">
      <c r="H44" s="151" t="s">
        <v>264</v>
      </c>
      <c r="I44" s="151"/>
      <c r="J44" s="151"/>
      <c r="K44" s="151"/>
    </row>
    <row r="45" spans="3:11">
      <c r="G45" s="139">
        <f>E34</f>
        <v>865.16600139719492</v>
      </c>
      <c r="H45" s="137">
        <v>0.08</v>
      </c>
      <c r="I45" s="137">
        <v>8.5000000000000006E-2</v>
      </c>
      <c r="J45" s="137">
        <v>8.8280551256074383E-2</v>
      </c>
      <c r="K45" s="137">
        <v>9.5000000000000001E-2</v>
      </c>
    </row>
    <row r="46" spans="3:11">
      <c r="F46" s="148" t="s">
        <v>294</v>
      </c>
      <c r="G46" s="144">
        <v>8</v>
      </c>
      <c r="H46" s="143">
        <f t="dataTable" ref="H46:K49" dt2D="1" dtr="1" r1="Q16" r2="E17" ca="1"/>
        <v>657.67167900283357</v>
      </c>
      <c r="I46" s="143">
        <v>642.98490724904366</v>
      </c>
      <c r="J46" s="143">
        <v>633.5652779157092</v>
      </c>
      <c r="K46" s="143">
        <v>614.79003684497343</v>
      </c>
    </row>
    <row r="47" spans="3:11">
      <c r="F47" s="148"/>
      <c r="G47" s="1">
        <v>9</v>
      </c>
      <c r="H47" s="18">
        <v>734.28753854204172</v>
      </c>
      <c r="I47" s="18">
        <v>717.85162003292248</v>
      </c>
      <c r="J47" s="18">
        <v>707.31036893610383</v>
      </c>
      <c r="K47" s="18">
        <v>686.30005030221207</v>
      </c>
    </row>
    <row r="48" spans="3:11">
      <c r="F48" s="148"/>
      <c r="G48" s="1">
        <v>10</v>
      </c>
      <c r="H48" s="18">
        <v>810.90339808124986</v>
      </c>
      <c r="I48" s="18">
        <v>792.71833281680154</v>
      </c>
      <c r="J48" s="18">
        <v>781.05545995649845</v>
      </c>
      <c r="K48" s="18">
        <v>757.81006375945071</v>
      </c>
    </row>
    <row r="49" spans="6:11" ht="15" thickBot="1">
      <c r="F49" s="149"/>
      <c r="G49" s="145">
        <v>11</v>
      </c>
      <c r="H49" s="140">
        <v>887.51925762045789</v>
      </c>
      <c r="I49" s="140">
        <v>867.58504560068047</v>
      </c>
      <c r="J49" s="140">
        <v>854.80055097689308</v>
      </c>
      <c r="K49" s="140">
        <v>829.32007721668958</v>
      </c>
    </row>
    <row r="50" spans="6:11" ht="15" thickTop="1"/>
    <row r="51" spans="6:11">
      <c r="F51" s="141"/>
      <c r="G51" s="144" t="s">
        <v>296</v>
      </c>
      <c r="H51" s="144" t="s">
        <v>297</v>
      </c>
      <c r="I51" s="144" t="s">
        <v>298</v>
      </c>
    </row>
    <row r="52" spans="6:11">
      <c r="F52" s="144" t="s">
        <v>295</v>
      </c>
      <c r="G52" s="143">
        <f>MIN(H39:K42)</f>
        <v>222.79063732231987</v>
      </c>
      <c r="H52" s="143">
        <f>I52-G52</f>
        <v>467.26805035357347</v>
      </c>
      <c r="I52" s="143">
        <f>MAX(H39:K42)</f>
        <v>690.05868767589334</v>
      </c>
    </row>
    <row r="53" spans="6:11">
      <c r="F53" s="1" t="s">
        <v>279</v>
      </c>
      <c r="G53" s="18">
        <f>MIN(H46:K49)</f>
        <v>614.79003684497343</v>
      </c>
      <c r="H53" s="18">
        <f>I53-G53</f>
        <v>272.72922077548446</v>
      </c>
      <c r="I53" s="18">
        <f>MAX(H46:K49)</f>
        <v>887.51925762045789</v>
      </c>
    </row>
    <row r="54" spans="6:11" ht="15" thickBot="1">
      <c r="F54" s="145" t="s">
        <v>299</v>
      </c>
      <c r="G54" s="146">
        <v>520</v>
      </c>
      <c r="H54" s="136">
        <f>I54-G54</f>
        <v>276</v>
      </c>
      <c r="I54" s="146">
        <v>796</v>
      </c>
    </row>
    <row r="55" spans="6:11" ht="15" thickTop="1"/>
    <row r="56" spans="6:11">
      <c r="F56" s="1" t="s">
        <v>300</v>
      </c>
    </row>
    <row r="57" spans="6:11">
      <c r="F57" s="147" t="s">
        <v>301</v>
      </c>
    </row>
  </sheetData>
  <mergeCells count="8">
    <mergeCell ref="I3:M3"/>
    <mergeCell ref="D4:M4"/>
    <mergeCell ref="D5:E5"/>
    <mergeCell ref="F46:F49"/>
    <mergeCell ref="F39:F42"/>
    <mergeCell ref="F36:K36"/>
    <mergeCell ref="H37:K37"/>
    <mergeCell ref="H44:K4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55E21-6998-4127-AC8B-DF25D0E3A61A}">
  <dimension ref="B3:AC13"/>
  <sheetViews>
    <sheetView workbookViewId="0">
      <selection activeCell="AA7" sqref="AA7"/>
    </sheetView>
  </sheetViews>
  <sheetFormatPr defaultRowHeight="14.4" outlineLevelCol="1"/>
  <cols>
    <col min="4" max="7" width="8.88671875" hidden="1" customWidth="1" outlineLevel="1"/>
    <col min="8" max="8" width="8.88671875" collapsed="1"/>
    <col min="9" max="12" width="0" hidden="1" customWidth="1" outlineLevel="1"/>
    <col min="13" max="13" width="8.88671875" collapsed="1"/>
    <col min="14" max="17" width="0" hidden="1" customWidth="1" outlineLevel="1"/>
    <col min="18" max="18" width="8.88671875" collapsed="1"/>
    <col min="26" max="26" width="28.44140625" bestFit="1" customWidth="1"/>
    <col min="27" max="27" width="10.5546875" bestFit="1" customWidth="1"/>
  </cols>
  <sheetData>
    <row r="3" spans="2:29">
      <c r="B3" t="s">
        <v>112</v>
      </c>
      <c r="C3" s="5" t="s">
        <v>5</v>
      </c>
      <c r="D3" s="5"/>
      <c r="E3" s="5"/>
      <c r="F3" s="5"/>
      <c r="G3" s="5"/>
      <c r="H3" s="153" t="s">
        <v>2</v>
      </c>
      <c r="I3" s="153"/>
      <c r="J3" s="153"/>
      <c r="K3" s="153"/>
      <c r="L3" s="153"/>
      <c r="M3" s="153"/>
      <c r="N3" s="153"/>
      <c r="O3" s="153"/>
      <c r="P3" s="153"/>
      <c r="Q3" s="153"/>
      <c r="R3" s="153"/>
      <c r="S3" s="153"/>
      <c r="T3" s="153"/>
      <c r="U3" s="153"/>
      <c r="V3" s="153"/>
      <c r="W3" s="153"/>
    </row>
    <row r="4" spans="2:29">
      <c r="D4" s="61" t="s">
        <v>221</v>
      </c>
      <c r="E4" s="61" t="s">
        <v>222</v>
      </c>
      <c r="F4" s="61" t="s">
        <v>223</v>
      </c>
      <c r="G4" s="61" t="s">
        <v>224</v>
      </c>
      <c r="H4" s="123">
        <v>2023</v>
      </c>
      <c r="I4" s="61" t="s">
        <v>225</v>
      </c>
      <c r="J4" s="61" t="s">
        <v>226</v>
      </c>
      <c r="K4" s="61" t="s">
        <v>227</v>
      </c>
      <c r="L4" s="61" t="s">
        <v>228</v>
      </c>
      <c r="M4" s="123">
        <f>H4+1</f>
        <v>2024</v>
      </c>
      <c r="N4" s="61" t="s">
        <v>229</v>
      </c>
      <c r="O4" s="61" t="s">
        <v>230</v>
      </c>
      <c r="P4" s="61" t="s">
        <v>231</v>
      </c>
      <c r="Q4" s="61" t="s">
        <v>232</v>
      </c>
      <c r="R4" s="123">
        <f>M4+1</f>
        <v>2025</v>
      </c>
      <c r="S4" s="123">
        <f t="shared" ref="S4:W4" si="0">R4+1</f>
        <v>2026</v>
      </c>
      <c r="T4" s="123">
        <f t="shared" si="0"/>
        <v>2027</v>
      </c>
      <c r="U4" s="123">
        <f t="shared" si="0"/>
        <v>2028</v>
      </c>
      <c r="V4" s="123">
        <f t="shared" si="0"/>
        <v>2029</v>
      </c>
      <c r="W4" s="123">
        <f t="shared" si="0"/>
        <v>2030</v>
      </c>
    </row>
    <row r="6" spans="2:29">
      <c r="B6" t="s">
        <v>233</v>
      </c>
      <c r="C6" s="1" t="s">
        <v>219</v>
      </c>
      <c r="D6" s="71">
        <v>3020</v>
      </c>
      <c r="E6" s="71">
        <v>3070</v>
      </c>
      <c r="F6" s="71">
        <v>3140</v>
      </c>
      <c r="G6" s="71">
        <v>3190</v>
      </c>
      <c r="H6" s="114">
        <f>AVERAGE(D6:G6)</f>
        <v>3105</v>
      </c>
      <c r="I6" s="71">
        <v>3240</v>
      </c>
      <c r="J6" s="71">
        <v>3270</v>
      </c>
      <c r="K6" s="71">
        <v>3290</v>
      </c>
      <c r="L6" s="71">
        <v>3350</v>
      </c>
      <c r="M6" s="114">
        <f>AVERAGE(I6:L6)</f>
        <v>3287.5</v>
      </c>
      <c r="N6" s="71">
        <v>3430</v>
      </c>
      <c r="O6" s="71">
        <v>3480</v>
      </c>
      <c r="P6" s="71">
        <v>3540</v>
      </c>
      <c r="Q6" s="71">
        <v>3580</v>
      </c>
      <c r="R6" s="114">
        <f>AVERAGE(N6:Q6)</f>
        <v>3507.5</v>
      </c>
      <c r="S6" s="114">
        <f>R6+Assumption!G11*R6</f>
        <v>3727.9399204337419</v>
      </c>
      <c r="T6" s="114">
        <f>S6+Assumption!H11*S6</f>
        <v>3962.234084209133</v>
      </c>
      <c r="U6" s="114">
        <f>T6+Assumption!I11*T6</f>
        <v>4211.2532050253612</v>
      </c>
      <c r="V6" s="114">
        <f>U6+Assumption!J11*U6</f>
        <v>4475.9227193353063</v>
      </c>
      <c r="W6" s="114">
        <f>V6+Assumption!K11*V6</f>
        <v>4757.2262255699043</v>
      </c>
      <c r="Z6" s="1" t="s">
        <v>213</v>
      </c>
      <c r="AA6">
        <v>3.58</v>
      </c>
      <c r="AB6" t="s">
        <v>214</v>
      </c>
      <c r="AC6" s="122">
        <f>AA6/AA7</f>
        <v>0.44750000000000001</v>
      </c>
    </row>
    <row r="7" spans="2:29">
      <c r="C7" s="38" t="s">
        <v>235</v>
      </c>
      <c r="M7" s="53">
        <f>M6/H6-1</f>
        <v>5.8776167471819685E-2</v>
      </c>
      <c r="R7" s="53">
        <f>R6/M6-1</f>
        <v>6.6920152091254792E-2</v>
      </c>
      <c r="S7" s="17">
        <f>Assumption!G11</f>
        <v>6.2848159781537238E-2</v>
      </c>
      <c r="T7" s="17">
        <f>Assumption!H11</f>
        <v>6.2848159781537238E-2</v>
      </c>
      <c r="U7" s="17">
        <f>Assumption!I11</f>
        <v>6.2848159781537238E-2</v>
      </c>
      <c r="V7" s="17">
        <f>Assumption!J11</f>
        <v>6.2848159781537238E-2</v>
      </c>
      <c r="W7" s="17">
        <f>Assumption!K11</f>
        <v>6.2848159781537238E-2</v>
      </c>
      <c r="Z7" s="1" t="s">
        <v>216</v>
      </c>
      <c r="AA7">
        <v>8</v>
      </c>
      <c r="AB7" t="s">
        <v>214</v>
      </c>
    </row>
    <row r="8" spans="2:29">
      <c r="Z8" s="1" t="s">
        <v>215</v>
      </c>
      <c r="AA8">
        <f>16.56*4</f>
        <v>66.239999999999995</v>
      </c>
      <c r="AC8" t="s">
        <v>217</v>
      </c>
    </row>
    <row r="9" spans="2:29">
      <c r="B9" t="s">
        <v>234</v>
      </c>
      <c r="C9" s="1" t="s">
        <v>220</v>
      </c>
      <c r="D9" s="71">
        <v>9.4700000000000006</v>
      </c>
      <c r="E9" s="71">
        <v>10.42</v>
      </c>
      <c r="F9" s="71">
        <v>10.93</v>
      </c>
      <c r="G9" s="71">
        <v>12.33</v>
      </c>
      <c r="H9" s="114">
        <f>SUM(D9:G9)</f>
        <v>43.15</v>
      </c>
      <c r="I9" s="71">
        <v>11.2</v>
      </c>
      <c r="J9" s="71">
        <v>11.89</v>
      </c>
      <c r="K9" s="71">
        <v>12.29</v>
      </c>
      <c r="L9" s="71">
        <v>14.25</v>
      </c>
      <c r="M9" s="114">
        <f>SUM(I9:L9)</f>
        <v>49.629999999999995</v>
      </c>
      <c r="N9" s="71">
        <v>12.36</v>
      </c>
      <c r="O9" s="71">
        <v>13.65</v>
      </c>
      <c r="P9" s="71">
        <v>14.46</v>
      </c>
      <c r="Q9" s="71">
        <v>16.559999999999999</v>
      </c>
      <c r="R9" s="114">
        <f>SUM(N9:Q9)</f>
        <v>57.03</v>
      </c>
      <c r="S9" s="114">
        <f>R9+Assumption!G16*R9</f>
        <v>65.563888707373152</v>
      </c>
      <c r="T9" s="114">
        <f>S9+Assumption!H16*S9</f>
        <v>75.374776476114548</v>
      </c>
      <c r="U9" s="114">
        <f>T9+Assumption!I16*T9</f>
        <v>86.6537516434</v>
      </c>
      <c r="V9" s="114">
        <f>U9+Assumption!J16*U9</f>
        <v>99.620496735476593</v>
      </c>
      <c r="W9" s="114">
        <f>V9+Assumption!K16*V9</f>
        <v>114.52756726175727</v>
      </c>
      <c r="Z9" s="1"/>
      <c r="AC9" s="122"/>
    </row>
    <row r="10" spans="2:29">
      <c r="C10" s="38" t="s">
        <v>235</v>
      </c>
      <c r="M10" s="53">
        <f>M9/H9-1</f>
        <v>0.15017381228273452</v>
      </c>
      <c r="R10" s="53">
        <f>R9/M9-1</f>
        <v>0.14910336490026199</v>
      </c>
      <c r="S10" s="17">
        <f>Assumption!G16</f>
        <v>0.14963858859149826</v>
      </c>
      <c r="T10" s="17">
        <f>Assumption!H16</f>
        <v>0.14963858859149826</v>
      </c>
      <c r="U10" s="17">
        <f>Assumption!I16</f>
        <v>0.14963858859149826</v>
      </c>
      <c r="V10" s="17">
        <f>Assumption!J16</f>
        <v>0.14963858859149826</v>
      </c>
      <c r="W10" s="17">
        <f>Assumption!K16</f>
        <v>0.14963858859149826</v>
      </c>
      <c r="Z10" s="1" t="s">
        <v>5</v>
      </c>
      <c r="AA10" s="18">
        <f>AA8*AA6</f>
        <v>237.13919999999999</v>
      </c>
      <c r="AB10" t="s">
        <v>218</v>
      </c>
    </row>
    <row r="12" spans="2:29">
      <c r="C12" s="1" t="s">
        <v>5</v>
      </c>
      <c r="D12" s="71">
        <f t="shared" ref="D12:R12" si="1">D9*D6</f>
        <v>28599.4</v>
      </c>
      <c r="E12" s="71">
        <f t="shared" si="1"/>
        <v>31989.4</v>
      </c>
      <c r="F12" s="71">
        <f t="shared" si="1"/>
        <v>34320.199999999997</v>
      </c>
      <c r="G12" s="71">
        <f t="shared" si="1"/>
        <v>39332.699999999997</v>
      </c>
      <c r="H12" s="114">
        <f t="shared" si="1"/>
        <v>133980.75</v>
      </c>
      <c r="I12" s="71">
        <f t="shared" si="1"/>
        <v>36288</v>
      </c>
      <c r="J12" s="71">
        <f t="shared" si="1"/>
        <v>38880.300000000003</v>
      </c>
      <c r="K12" s="71">
        <f t="shared" si="1"/>
        <v>40434.1</v>
      </c>
      <c r="L12" s="71">
        <f t="shared" si="1"/>
        <v>47737.5</v>
      </c>
      <c r="M12" s="114">
        <f t="shared" si="1"/>
        <v>163158.62499999997</v>
      </c>
      <c r="N12" s="71">
        <f t="shared" si="1"/>
        <v>42394.799999999996</v>
      </c>
      <c r="O12" s="71">
        <f t="shared" si="1"/>
        <v>47502</v>
      </c>
      <c r="P12" s="71">
        <f t="shared" si="1"/>
        <v>51188.4</v>
      </c>
      <c r="Q12" s="71">
        <f t="shared" si="1"/>
        <v>59284.799999999996</v>
      </c>
      <c r="R12" s="114">
        <f t="shared" si="1"/>
        <v>200032.72500000001</v>
      </c>
      <c r="S12" s="114">
        <f>S6*S9</f>
        <v>244418.23805109138</v>
      </c>
      <c r="T12" s="114">
        <f t="shared" ref="T12:W12" si="2">T6*T9</f>
        <v>298652.50844330585</v>
      </c>
      <c r="U12" s="114">
        <f t="shared" si="2"/>
        <v>364920.88933573989</v>
      </c>
      <c r="V12" s="114">
        <f t="shared" si="2"/>
        <v>445893.64464978839</v>
      </c>
      <c r="W12" s="114">
        <f t="shared" si="2"/>
        <v>544833.54652835289</v>
      </c>
      <c r="Z12" s="1"/>
      <c r="AC12" s="122"/>
    </row>
    <row r="13" spans="2:29">
      <c r="C13" s="38" t="s">
        <v>235</v>
      </c>
      <c r="M13" s="53">
        <f>M12/H12-1</f>
        <v>0.2177766208951657</v>
      </c>
      <c r="R13" s="53">
        <f>R12/M12-1</f>
        <v>0.22600153684796043</v>
      </c>
      <c r="S13" s="17">
        <f>S12/R12-1</f>
        <v>0.22189125829831791</v>
      </c>
      <c r="T13" s="17">
        <f t="shared" ref="T13:W13" si="3">T12/S12-1</f>
        <v>0.22189125829831791</v>
      </c>
      <c r="U13" s="17">
        <f t="shared" si="3"/>
        <v>0.22189125829831746</v>
      </c>
      <c r="V13" s="17">
        <f t="shared" si="3"/>
        <v>0.22189125829831768</v>
      </c>
      <c r="W13" s="17">
        <f t="shared" si="3"/>
        <v>0.22189125829831768</v>
      </c>
    </row>
  </sheetData>
  <mergeCells count="1">
    <mergeCell ref="H3:W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A6F6-56F5-4A21-9E6D-69A653199E99}">
  <dimension ref="B3:K27"/>
  <sheetViews>
    <sheetView tabSelected="1" workbookViewId="0">
      <pane xSplit="3" ySplit="4" topLeftCell="D5" activePane="bottomRight" state="frozen"/>
      <selection pane="topRight" activeCell="D1" sqref="D1"/>
      <selection pane="bottomLeft" activeCell="A5" sqref="A5"/>
      <selection pane="bottomRight"/>
    </sheetView>
  </sheetViews>
  <sheetFormatPr defaultRowHeight="14.4"/>
  <cols>
    <col min="1" max="1" width="14.21875" customWidth="1"/>
    <col min="2" max="2" width="4.33203125" customWidth="1"/>
    <col min="3" max="3" width="21.6640625" bestFit="1" customWidth="1"/>
    <col min="7" max="8" width="8.77734375" bestFit="1" customWidth="1"/>
    <col min="9" max="11" width="9.44140625" bestFit="1" customWidth="1"/>
  </cols>
  <sheetData>
    <row r="3" spans="2:11">
      <c r="B3" t="s">
        <v>112</v>
      </c>
      <c r="C3" s="5" t="s">
        <v>111</v>
      </c>
      <c r="D3" s="153" t="s">
        <v>2</v>
      </c>
      <c r="E3" s="153"/>
      <c r="F3" s="153"/>
      <c r="G3" s="153"/>
      <c r="H3" s="153"/>
      <c r="I3" s="153"/>
      <c r="J3" s="153"/>
      <c r="K3" s="153"/>
    </row>
    <row r="4" spans="2:11">
      <c r="D4" s="61">
        <v>2023</v>
      </c>
      <c r="E4" s="62">
        <f>D4+1</f>
        <v>2024</v>
      </c>
      <c r="F4" s="62">
        <f>E4+1</f>
        <v>2025</v>
      </c>
      <c r="G4" s="55">
        <f t="shared" ref="G4:K4" si="0">F4+1</f>
        <v>2026</v>
      </c>
      <c r="H4" s="55">
        <f t="shared" si="0"/>
        <v>2027</v>
      </c>
      <c r="I4" s="55">
        <f t="shared" si="0"/>
        <v>2028</v>
      </c>
      <c r="J4" s="55">
        <f t="shared" si="0"/>
        <v>2029</v>
      </c>
      <c r="K4" s="55">
        <f t="shared" si="0"/>
        <v>2030</v>
      </c>
    </row>
    <row r="5" spans="2:11">
      <c r="C5" t="s">
        <v>5</v>
      </c>
      <c r="D5" s="71">
        <f>'Operating Model - IS, BS, CF'!D5</f>
        <v>134902</v>
      </c>
      <c r="E5" s="71">
        <f>'Operating Model - IS, BS, CF'!E5</f>
        <v>164501</v>
      </c>
      <c r="F5" s="71">
        <f>'Operating Model - IS, BS, CF'!F5</f>
        <v>200966</v>
      </c>
      <c r="G5" s="84">
        <f>'Operating Model - IS, BS, CF'!G5</f>
        <v>244418.23805109138</v>
      </c>
      <c r="H5" s="84">
        <f>'Operating Model - IS, BS, CF'!H5</f>
        <v>298652.50844330585</v>
      </c>
      <c r="I5" s="84">
        <f>'Operating Model - IS, BS, CF'!I5</f>
        <v>364920.88933573989</v>
      </c>
      <c r="J5" s="84">
        <f>'Operating Model - IS, BS, CF'!J5</f>
        <v>445893.64464978839</v>
      </c>
      <c r="K5" s="84">
        <f>'Operating Model - IS, BS, CF'!K5</f>
        <v>544833.54652835289</v>
      </c>
    </row>
    <row r="6" spans="2:11">
      <c r="C6" t="s">
        <v>113</v>
      </c>
      <c r="D6" s="71">
        <f>'Operating Model - IS, BS, CF'!D94</f>
        <v>-27045</v>
      </c>
      <c r="E6" s="71">
        <f>'Operating Model - IS, BS, CF'!E94</f>
        <v>-37256</v>
      </c>
      <c r="F6" s="71">
        <f>'Operating Model - IS, BS, CF'!F94</f>
        <v>-69691</v>
      </c>
      <c r="G6" s="84">
        <f>Assumption!G30*G5</f>
        <v>-84759.369385958867</v>
      </c>
      <c r="H6" s="84">
        <f>Assumption!H30*H5</f>
        <v>-103566.7325115812</v>
      </c>
      <c r="I6" s="84">
        <f>Assumption!I30*I5</f>
        <v>-126547.28510642123</v>
      </c>
      <c r="J6" s="84">
        <f>Assumption!J30*J5</f>
        <v>-154627.021432921</v>
      </c>
      <c r="K6" s="84">
        <f>Assumption!K30*K5</f>
        <v>-188937.4057855928</v>
      </c>
    </row>
    <row r="7" spans="2:11">
      <c r="C7" t="s">
        <v>14</v>
      </c>
      <c r="D7" s="85">
        <f>D6/D5</f>
        <v>-0.20047886613986449</v>
      </c>
      <c r="E7" s="85">
        <f t="shared" ref="E7:F7" si="1">E6/E5</f>
        <v>-0.22647886638986997</v>
      </c>
      <c r="F7" s="85">
        <f t="shared" si="1"/>
        <v>-0.34678005234716319</v>
      </c>
    </row>
    <row r="8" spans="2:11">
      <c r="D8" s="72"/>
      <c r="E8" s="72"/>
      <c r="F8" s="72"/>
      <c r="G8" s="72"/>
      <c r="H8" s="72"/>
      <c r="I8" s="72"/>
      <c r="J8" s="72"/>
      <c r="K8" s="72"/>
    </row>
    <row r="9" spans="2:11">
      <c r="C9" t="s">
        <v>114</v>
      </c>
      <c r="D9" s="71"/>
      <c r="E9" s="71">
        <f>D12</f>
        <v>96587</v>
      </c>
      <c r="F9" s="71">
        <f t="shared" ref="F9:K9" si="2">E12</f>
        <v>121346</v>
      </c>
      <c r="G9" s="84">
        <f t="shared" si="2"/>
        <v>176400</v>
      </c>
      <c r="H9" s="84">
        <f t="shared" si="2"/>
        <v>233940.85292115854</v>
      </c>
      <c r="I9" s="84">
        <f t="shared" si="2"/>
        <v>302331.91552399652</v>
      </c>
      <c r="J9" s="84">
        <f t="shared" si="2"/>
        <v>384180.61060389027</v>
      </c>
      <c r="K9" s="84">
        <f t="shared" si="2"/>
        <v>482652.09590408189</v>
      </c>
    </row>
    <row r="10" spans="2:11">
      <c r="B10" t="s">
        <v>118</v>
      </c>
      <c r="C10" t="s">
        <v>115</v>
      </c>
      <c r="D10" s="71">
        <f>-D6</f>
        <v>27045</v>
      </c>
      <c r="E10" s="71">
        <f t="shared" ref="E10:K10" si="3">-E6</f>
        <v>37256</v>
      </c>
      <c r="F10" s="71">
        <f t="shared" si="3"/>
        <v>69691</v>
      </c>
      <c r="G10" s="84">
        <f t="shared" si="3"/>
        <v>84759.369385958867</v>
      </c>
      <c r="H10" s="84">
        <f t="shared" si="3"/>
        <v>103566.7325115812</v>
      </c>
      <c r="I10" s="84">
        <f t="shared" si="3"/>
        <v>126547.28510642123</v>
      </c>
      <c r="J10" s="84">
        <f t="shared" si="3"/>
        <v>154627.021432921</v>
      </c>
      <c r="K10" s="84">
        <f t="shared" si="3"/>
        <v>188937.4057855928</v>
      </c>
    </row>
    <row r="11" spans="2:11">
      <c r="B11" t="s">
        <v>119</v>
      </c>
      <c r="C11" t="s">
        <v>116</v>
      </c>
      <c r="D11" s="71"/>
      <c r="E11" s="71"/>
      <c r="F11" s="71"/>
      <c r="G11" s="72">
        <f>-G16</f>
        <v>-27218.516464800327</v>
      </c>
      <c r="H11" s="72">
        <f t="shared" ref="H11:K11" si="4">-H16</f>
        <v>-35175.669908743221</v>
      </c>
      <c r="I11" s="72">
        <f t="shared" si="4"/>
        <v>-44698.590026527476</v>
      </c>
      <c r="J11" s="72">
        <f t="shared" si="4"/>
        <v>-56155.536132729336</v>
      </c>
      <c r="K11" s="72">
        <f t="shared" si="4"/>
        <v>-69994.310188092582</v>
      </c>
    </row>
    <row r="12" spans="2:11">
      <c r="C12" t="s">
        <v>117</v>
      </c>
      <c r="D12" s="71">
        <f>'Operating Model - IS, BS, CF'!D43</f>
        <v>96587</v>
      </c>
      <c r="E12" s="71">
        <f>'Operating Model - IS, BS, CF'!E43</f>
        <v>121346</v>
      </c>
      <c r="F12" s="71">
        <f>'Operating Model - IS, BS, CF'!F43</f>
        <v>176400</v>
      </c>
      <c r="G12" s="72">
        <f>SUM(G9:G11)</f>
        <v>233940.85292115854</v>
      </c>
      <c r="H12" s="72">
        <f t="shared" ref="H12:K12" si="5">SUM(H9:H11)</f>
        <v>302331.91552399652</v>
      </c>
      <c r="I12" s="72">
        <f t="shared" si="5"/>
        <v>384180.61060389027</v>
      </c>
      <c r="J12" s="72">
        <f t="shared" si="5"/>
        <v>482652.09590408189</v>
      </c>
      <c r="K12" s="72">
        <f t="shared" si="5"/>
        <v>601595.19150158204</v>
      </c>
    </row>
    <row r="13" spans="2:11">
      <c r="D13" s="71"/>
      <c r="E13" s="71"/>
      <c r="F13" s="71"/>
      <c r="G13" s="72"/>
      <c r="H13" s="72"/>
      <c r="I13" s="72"/>
      <c r="J13" s="72"/>
      <c r="K13" s="72"/>
    </row>
    <row r="14" spans="2:11">
      <c r="C14" t="s">
        <v>120</v>
      </c>
      <c r="D14" s="71">
        <f>'Operating Model - IS, BS, CF'!D83</f>
        <v>11178</v>
      </c>
      <c r="E14" s="71">
        <f>'Operating Model - IS, BS, CF'!E83</f>
        <v>15498</v>
      </c>
      <c r="F14" s="71">
        <f>'Operating Model - IS, BS, CF'!F83</f>
        <v>18616</v>
      </c>
      <c r="G14" s="72">
        <f>G16+Assumption!G32</f>
        <v>28477.516464800327</v>
      </c>
      <c r="H14" s="72">
        <f>H16+Assumption!H32</f>
        <v>36337.669908743221</v>
      </c>
      <c r="I14" s="72">
        <f>I16+Assumption!I32</f>
        <v>45469.590026527476</v>
      </c>
      <c r="J14" s="72">
        <f>J16+Assumption!J32</f>
        <v>56194.536132729336</v>
      </c>
      <c r="K14" s="72">
        <f>K16+Assumption!K32</f>
        <v>70021.310188092582</v>
      </c>
    </row>
    <row r="15" spans="2:11">
      <c r="D15" s="72"/>
      <c r="E15" s="72"/>
      <c r="F15" s="72"/>
      <c r="G15" s="72"/>
      <c r="H15" s="72"/>
      <c r="I15" s="72"/>
      <c r="J15" s="72"/>
      <c r="K15" s="72"/>
    </row>
    <row r="16" spans="2:11">
      <c r="C16" t="s">
        <v>121</v>
      </c>
      <c r="D16" s="71">
        <f>D14-Assumption!D32</f>
        <v>11017</v>
      </c>
      <c r="E16" s="71">
        <f>E14-Assumption!E32</f>
        <v>15287</v>
      </c>
      <c r="F16" s="71">
        <f>F14-Assumption!F32</f>
        <v>18001</v>
      </c>
      <c r="G16" s="84">
        <f>SUM(G9:G10)*Assumption!G31</f>
        <v>27218.516464800327</v>
      </c>
      <c r="H16" s="84">
        <f>SUM(H9:H10)*Assumption!H31</f>
        <v>35175.669908743221</v>
      </c>
      <c r="I16" s="84">
        <f>SUM(I9:I10)*Assumption!I31</f>
        <v>44698.590026527476</v>
      </c>
      <c r="J16" s="84">
        <f>SUM(J9:J10)*Assumption!J31</f>
        <v>56155.536132729336</v>
      </c>
      <c r="K16" s="84">
        <f>SUM(K9:K10)*Assumption!K31</f>
        <v>69994.310188092582</v>
      </c>
    </row>
    <row r="17" spans="3:11">
      <c r="C17" t="s">
        <v>122</v>
      </c>
      <c r="D17" s="85"/>
      <c r="E17" s="85">
        <f>E16/SUM(E9:E10)</f>
        <v>0.11421590968522821</v>
      </c>
      <c r="F17" s="85">
        <f t="shared" ref="F17" si="6">F16/SUM(F9:F10)</f>
        <v>9.4227819741725422E-2</v>
      </c>
    </row>
    <row r="18" spans="3:11">
      <c r="D18" s="72"/>
      <c r="E18" s="72"/>
      <c r="F18" s="72"/>
      <c r="G18" s="72"/>
      <c r="H18" s="72"/>
      <c r="I18" s="72"/>
      <c r="J18" s="72"/>
      <c r="K18" s="72"/>
    </row>
    <row r="20" spans="3:11">
      <c r="D20" s="72"/>
      <c r="E20" s="72"/>
      <c r="F20" s="72"/>
      <c r="G20" s="72"/>
      <c r="H20" s="72"/>
      <c r="I20" s="72"/>
      <c r="J20" s="72"/>
      <c r="K20" s="72"/>
    </row>
    <row r="21" spans="3:11">
      <c r="C21" t="s">
        <v>124</v>
      </c>
      <c r="D21" s="71"/>
      <c r="E21" s="71">
        <f>D24</f>
        <v>788</v>
      </c>
      <c r="F21" s="71">
        <f t="shared" ref="F21:K21" si="7">E24</f>
        <v>915</v>
      </c>
      <c r="G21" s="84">
        <f t="shared" si="7"/>
        <v>3692</v>
      </c>
      <c r="H21" s="84">
        <f t="shared" si="7"/>
        <v>2433</v>
      </c>
      <c r="I21" s="84">
        <f t="shared" si="7"/>
        <v>1271</v>
      </c>
      <c r="J21" s="84">
        <f t="shared" si="7"/>
        <v>500</v>
      </c>
      <c r="K21" s="84">
        <f t="shared" si="7"/>
        <v>461</v>
      </c>
    </row>
    <row r="22" spans="3:11">
      <c r="C22" t="s">
        <v>125</v>
      </c>
      <c r="D22" s="71"/>
      <c r="E22" s="71">
        <f>-'Operating Model - IS, BS, CF'!E95</f>
        <v>270</v>
      </c>
      <c r="F22" s="71">
        <f>-'Operating Model - IS, BS, CF'!F95</f>
        <v>4231</v>
      </c>
    </row>
    <row r="23" spans="3:11">
      <c r="C23" t="s">
        <v>123</v>
      </c>
      <c r="D23" s="71">
        <f>Assumption!D32</f>
        <v>161</v>
      </c>
      <c r="E23" s="71">
        <f>Assumption!E32</f>
        <v>211</v>
      </c>
      <c r="F23" s="71">
        <f>Assumption!F32</f>
        <v>615</v>
      </c>
      <c r="G23" s="84">
        <f>-Assumption!G32</f>
        <v>-1259</v>
      </c>
      <c r="H23" s="84">
        <f>-Assumption!H32</f>
        <v>-1162</v>
      </c>
      <c r="I23" s="84">
        <f>-Assumption!I32</f>
        <v>-771</v>
      </c>
      <c r="J23" s="84">
        <f>-Assumption!J32</f>
        <v>-39</v>
      </c>
      <c r="K23" s="84">
        <f>-Assumption!K32</f>
        <v>-27</v>
      </c>
    </row>
    <row r="24" spans="3:11">
      <c r="C24" t="s">
        <v>126</v>
      </c>
      <c r="D24" s="71">
        <f>'Operating Model - IS, BS, CF'!D45</f>
        <v>788</v>
      </c>
      <c r="E24" s="71">
        <f>'Operating Model - IS, BS, CF'!E45</f>
        <v>915</v>
      </c>
      <c r="F24" s="71">
        <f>'Operating Model - IS, BS, CF'!F45</f>
        <v>3692</v>
      </c>
      <c r="G24" s="84">
        <f>SUM(G21:G23)</f>
        <v>2433</v>
      </c>
      <c r="H24" s="84">
        <f>SUM(H21:H23)</f>
        <v>1271</v>
      </c>
      <c r="I24" s="84">
        <f>SUM(I21:I23)</f>
        <v>500</v>
      </c>
      <c r="J24" s="84">
        <f>SUM(J21:J23)</f>
        <v>461</v>
      </c>
      <c r="K24" s="84">
        <f>SUM(K21:K23)</f>
        <v>434</v>
      </c>
    </row>
    <row r="26" spans="3:11">
      <c r="C26" s="70" t="s">
        <v>127</v>
      </c>
      <c r="D26" s="86">
        <f>Assumption!D32</f>
        <v>161</v>
      </c>
      <c r="E26" s="86">
        <f>Assumption!E32</f>
        <v>211</v>
      </c>
      <c r="F26" s="86">
        <f>Assumption!F32</f>
        <v>615</v>
      </c>
      <c r="G26" s="86">
        <f>SUM(G21:G21)*G27</f>
        <v>588.76913152947179</v>
      </c>
      <c r="H26" s="86">
        <f>SUM(H21:H21)*H27</f>
        <v>387.99439247324074</v>
      </c>
      <c r="I26" s="86">
        <f>SUM(I21:I21)*I27</f>
        <v>202.68839820529757</v>
      </c>
      <c r="J26" s="86">
        <f>SUM(J21:J21)*J27</f>
        <v>79.735797877772455</v>
      </c>
      <c r="K26" s="86">
        <f>SUM(K21:K21)*K27</f>
        <v>73.5164056433062</v>
      </c>
    </row>
    <row r="27" spans="3:11">
      <c r="C27" s="70" t="s">
        <v>128</v>
      </c>
      <c r="D27" s="86"/>
      <c r="E27" s="87">
        <f t="shared" ref="E27:F27" si="8">E26/SUM(E21:E22)</f>
        <v>0.1994328922495274</v>
      </c>
      <c r="F27" s="87">
        <f t="shared" si="8"/>
        <v>0.11951029926156238</v>
      </c>
      <c r="G27" s="87">
        <f>AVERAGE($E$27:$F$27)</f>
        <v>0.1594715957555449</v>
      </c>
      <c r="H27" s="87">
        <f t="shared" ref="H27:K27" si="9">AVERAGE($E$27:$F$27)</f>
        <v>0.1594715957555449</v>
      </c>
      <c r="I27" s="87">
        <f t="shared" si="9"/>
        <v>0.1594715957555449</v>
      </c>
      <c r="J27" s="87">
        <f t="shared" si="9"/>
        <v>0.1594715957555449</v>
      </c>
      <c r="K27" s="87">
        <f t="shared" si="9"/>
        <v>0.1594715957555449</v>
      </c>
    </row>
  </sheetData>
  <mergeCells count="1">
    <mergeCell ref="D3:K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F56D-B3B1-41F4-BE23-9142182036FD}">
  <dimension ref="B2:S30"/>
  <sheetViews>
    <sheetView zoomScale="93" zoomScaleNormal="89" workbookViewId="0">
      <pane xSplit="3" ySplit="4" topLeftCell="D5" activePane="bottomRight" state="frozen"/>
      <selection activeCell="C19" sqref="C19"/>
      <selection pane="topRight" activeCell="C19" sqref="C19"/>
      <selection pane="bottomLeft" activeCell="C19" sqref="C19"/>
      <selection pane="bottomRight"/>
    </sheetView>
  </sheetViews>
  <sheetFormatPr defaultRowHeight="14.4"/>
  <cols>
    <col min="3" max="3" width="34.6640625" bestFit="1" customWidth="1"/>
    <col min="11" max="11" width="9.6640625" bestFit="1" customWidth="1"/>
  </cols>
  <sheetData>
    <row r="2" spans="2:17">
      <c r="C2">
        <v>1</v>
      </c>
      <c r="D2">
        <v>2</v>
      </c>
      <c r="E2">
        <v>3</v>
      </c>
      <c r="F2">
        <v>4</v>
      </c>
      <c r="G2">
        <v>5</v>
      </c>
      <c r="H2">
        <v>6</v>
      </c>
      <c r="I2">
        <v>7</v>
      </c>
      <c r="J2">
        <v>8</v>
      </c>
      <c r="K2">
        <v>9</v>
      </c>
    </row>
    <row r="3" spans="2:17">
      <c r="B3" t="s">
        <v>112</v>
      </c>
      <c r="C3" s="5" t="s">
        <v>129</v>
      </c>
      <c r="D3" s="153" t="s">
        <v>2</v>
      </c>
      <c r="E3" s="153"/>
      <c r="F3" s="153"/>
      <c r="G3" s="153"/>
      <c r="H3" s="153"/>
      <c r="I3" s="153"/>
      <c r="J3" s="153"/>
      <c r="K3" s="153"/>
    </row>
    <row r="4" spans="2:17">
      <c r="D4" s="61">
        <v>2023</v>
      </c>
      <c r="E4" s="62">
        <f>D4+1</f>
        <v>2024</v>
      </c>
      <c r="F4" s="62">
        <f>E4+1</f>
        <v>2025</v>
      </c>
      <c r="G4" s="55">
        <f t="shared" ref="G4:K4" si="0">F4+1</f>
        <v>2026</v>
      </c>
      <c r="H4" s="55">
        <f t="shared" si="0"/>
        <v>2027</v>
      </c>
      <c r="I4" s="55">
        <f t="shared" si="0"/>
        <v>2028</v>
      </c>
      <c r="J4" s="55">
        <f t="shared" si="0"/>
        <v>2029</v>
      </c>
      <c r="K4" s="55">
        <f t="shared" si="0"/>
        <v>2030</v>
      </c>
    </row>
    <row r="5" spans="2:17">
      <c r="C5" t="s">
        <v>5</v>
      </c>
      <c r="D5" s="114">
        <f>'Operating Model - IS, BS, CF'!D5</f>
        <v>134902</v>
      </c>
      <c r="E5" s="114">
        <f>'Operating Model - IS, BS, CF'!E5</f>
        <v>164501</v>
      </c>
      <c r="F5" s="114">
        <f>'Operating Model - IS, BS, CF'!F5</f>
        <v>200966</v>
      </c>
      <c r="G5" s="84">
        <f>'Operating Model - IS, BS, CF'!G5</f>
        <v>244418.23805109138</v>
      </c>
      <c r="H5" s="84">
        <f>'Operating Model - IS, BS, CF'!H5</f>
        <v>298652.50844330585</v>
      </c>
      <c r="I5" s="84">
        <f>'Operating Model - IS, BS, CF'!I5</f>
        <v>364920.88933573989</v>
      </c>
      <c r="J5" s="84">
        <f>'Operating Model - IS, BS, CF'!J5</f>
        <v>445893.64464978839</v>
      </c>
      <c r="K5" s="84">
        <f>'Operating Model - IS, BS, CF'!K5</f>
        <v>544833.54652835289</v>
      </c>
    </row>
    <row r="6" spans="2:17">
      <c r="C6" t="s">
        <v>130</v>
      </c>
      <c r="D6" s="114">
        <f>'Operating Model - IS, BS, CF'!D7</f>
        <v>-25959</v>
      </c>
      <c r="E6" s="114">
        <f>'Operating Model - IS, BS, CF'!E7</f>
        <v>-30161</v>
      </c>
      <c r="F6" s="114">
        <f>'Operating Model - IS, BS, CF'!F7</f>
        <v>-36175</v>
      </c>
      <c r="G6" s="84">
        <f>'Operating Model - IS, BS, CF'!G7</f>
        <v>-45281.133010134734</v>
      </c>
      <c r="H6" s="84">
        <f>'Operating Model - IS, BS, CF'!H7</f>
        <v>-55328.620590927028</v>
      </c>
      <c r="I6" s="84">
        <f>'Operating Model - IS, BS, CF'!I7</f>
        <v>-67605.557833758023</v>
      </c>
      <c r="J6" s="84">
        <f>'Operating Model - IS, BS, CF'!J7</f>
        <v>-82606.640129450287</v>
      </c>
      <c r="K6" s="84">
        <f>'Operating Model - IS, BS, CF'!K7</f>
        <v>-100936.33145157032</v>
      </c>
    </row>
    <row r="8" spans="2:17">
      <c r="C8" s="1" t="s">
        <v>131</v>
      </c>
    </row>
    <row r="9" spans="2:17">
      <c r="C9" s="3" t="s">
        <v>34</v>
      </c>
      <c r="D9" s="51">
        <f>VLOOKUP($C9,'Operating Model - IS, BS, CF'!$C$32:$F$78,$D$2,0)</f>
        <v>16169</v>
      </c>
      <c r="E9" s="51">
        <f>VLOOKUP($C9,'Operating Model - IS, BS, CF'!$C$32:$F$78,$E$2,0)</f>
        <v>16994</v>
      </c>
      <c r="F9" s="51">
        <f>VLOOKUP($C9,'Operating Model - IS, BS, CF'!$C$32:$F$78,$F$2,0)</f>
        <v>19769</v>
      </c>
      <c r="G9" s="114">
        <f>(G5/G21)</f>
        <v>23496.475153689738</v>
      </c>
      <c r="H9" s="114">
        <f t="shared" ref="H9:K9" si="1">(H5/H21)</f>
        <v>28710.13759111712</v>
      </c>
      <c r="I9" s="114">
        <f t="shared" si="1"/>
        <v>35080.666147127922</v>
      </c>
      <c r="J9" s="114">
        <f t="shared" si="1"/>
        <v>42864.759300457335</v>
      </c>
      <c r="K9" s="114">
        <f t="shared" si="1"/>
        <v>52376.074678290337</v>
      </c>
      <c r="M9" s="84"/>
      <c r="O9" s="1" t="s">
        <v>147</v>
      </c>
    </row>
    <row r="10" spans="2:17">
      <c r="C10" s="3" t="s">
        <v>35</v>
      </c>
      <c r="D10" s="51">
        <f>VLOOKUP($C10,'Operating Model - IS, BS, CF'!$C$32:$F$78,$D$2,0)</f>
        <v>0</v>
      </c>
      <c r="E10" s="51">
        <f>VLOOKUP($C10,'Operating Model - IS, BS, CF'!$C$32:$F$78,$E$2,0)</f>
        <v>0</v>
      </c>
      <c r="F10" s="51">
        <f>VLOOKUP($C10,'Operating Model - IS, BS, CF'!$C$32:$F$78,$F$2,0)</f>
        <v>0</v>
      </c>
      <c r="G10" s="43">
        <f>Assumption!G42</f>
        <v>0</v>
      </c>
      <c r="H10" s="43">
        <f>Assumption!H42</f>
        <v>0</v>
      </c>
      <c r="I10" s="43">
        <f>Assumption!I42</f>
        <v>0</v>
      </c>
      <c r="J10" s="43">
        <f>Assumption!J42</f>
        <v>0</v>
      </c>
      <c r="K10" s="43">
        <f>Assumption!K42</f>
        <v>0</v>
      </c>
    </row>
    <row r="11" spans="2:17">
      <c r="C11" s="3" t="s">
        <v>36</v>
      </c>
      <c r="D11" s="51">
        <f>VLOOKUP($C11,'Operating Model - IS, BS, CF'!$C$32:$F$78,$D$2,0)</f>
        <v>3793</v>
      </c>
      <c r="E11" s="51">
        <f>VLOOKUP($C11,'Operating Model - IS, BS, CF'!$C$32:$F$78,$E$2,0)</f>
        <v>5236</v>
      </c>
      <c r="F11" s="51">
        <f>VLOOKUP($C11,'Operating Model - IS, BS, CF'!$C$32:$F$78,$F$2,0)</f>
        <v>7361</v>
      </c>
      <c r="G11" s="114">
        <f>Assumption!G43</f>
        <v>7361</v>
      </c>
      <c r="H11" s="114">
        <f>Assumption!H43</f>
        <v>7361</v>
      </c>
      <c r="I11" s="114">
        <f>Assumption!I43</f>
        <v>7361</v>
      </c>
      <c r="J11" s="114">
        <f>Assumption!J43</f>
        <v>7361</v>
      </c>
      <c r="K11" s="114">
        <f>Assumption!K43</f>
        <v>7361</v>
      </c>
      <c r="M11" s="72"/>
      <c r="O11" s="1" t="s">
        <v>150</v>
      </c>
    </row>
    <row r="12" spans="2:17" ht="15" thickBot="1">
      <c r="C12" s="4" t="s">
        <v>134</v>
      </c>
      <c r="D12" s="115">
        <f>SUM(D9:D11)</f>
        <v>19962</v>
      </c>
      <c r="E12" s="115">
        <f t="shared" ref="E12:F12" si="2">SUM(E9:E11)</f>
        <v>22230</v>
      </c>
      <c r="F12" s="115">
        <f t="shared" si="2"/>
        <v>27130</v>
      </c>
      <c r="G12" s="115">
        <f t="shared" ref="G12" si="3">SUM(G9:G11)</f>
        <v>30857.475153689738</v>
      </c>
      <c r="H12" s="115">
        <f t="shared" ref="H12" si="4">SUM(H9:H11)</f>
        <v>36071.13759111712</v>
      </c>
      <c r="I12" s="115">
        <f t="shared" ref="I12" si="5">SUM(I9:I11)</f>
        <v>42441.666147127922</v>
      </c>
      <c r="J12" s="115">
        <f t="shared" ref="J12" si="6">SUM(J9:J11)</f>
        <v>50225.759300457335</v>
      </c>
      <c r="K12" s="115">
        <f t="shared" ref="K12" si="7">SUM(K9:K11)</f>
        <v>59737.074678290337</v>
      </c>
    </row>
    <row r="13" spans="2:17">
      <c r="C13" s="1" t="s">
        <v>132</v>
      </c>
      <c r="D13" s="51"/>
      <c r="E13" s="51"/>
      <c r="F13" s="51"/>
      <c r="G13" s="43"/>
      <c r="H13" s="43"/>
      <c r="I13" s="43"/>
      <c r="J13" s="43"/>
      <c r="K13" s="43"/>
      <c r="O13" s="92" t="s">
        <v>145</v>
      </c>
      <c r="P13" s="93"/>
      <c r="Q13" s="94"/>
    </row>
    <row r="14" spans="2:17">
      <c r="C14" s="3" t="s">
        <v>49</v>
      </c>
      <c r="D14" s="51">
        <f>VLOOKUP($C14,'Operating Model - IS, BS, CF'!$C$32:$F$78,$D$2,0)</f>
        <v>4849</v>
      </c>
      <c r="E14" s="51">
        <f>VLOOKUP($C14,'Operating Model - IS, BS, CF'!$C$32:$F$78,$E$2,0)</f>
        <v>7687</v>
      </c>
      <c r="F14" s="51">
        <f>VLOOKUP($C14,'Operating Model - IS, BS, CF'!$C$32:$F$78,$F$2,0)</f>
        <v>8894</v>
      </c>
      <c r="G14" s="114">
        <f>(-G6/G24)</f>
        <v>9893.8291218531795</v>
      </c>
      <c r="H14" s="114">
        <f t="shared" ref="H14:K14" si="8">(-H6/H24)</f>
        <v>12089.183315089724</v>
      </c>
      <c r="I14" s="114">
        <f t="shared" si="8"/>
        <v>14771.667412674007</v>
      </c>
      <c r="J14" s="114">
        <f t="shared" si="8"/>
        <v>18049.3712820365</v>
      </c>
      <c r="K14" s="114">
        <f t="shared" si="8"/>
        <v>22054.368987301099</v>
      </c>
      <c r="M14" s="84"/>
      <c r="O14" s="95" t="s">
        <v>146</v>
      </c>
      <c r="P14" s="96"/>
      <c r="Q14" s="97"/>
    </row>
    <row r="15" spans="2:17">
      <c r="C15" s="3" t="s">
        <v>52</v>
      </c>
      <c r="D15" s="51">
        <f>VLOOKUP($C15,'Operating Model - IS, BS, CF'!$C$32:$F$78,$D$2,0)</f>
        <v>25488</v>
      </c>
      <c r="E15" s="51">
        <f>VLOOKUP($C15,'Operating Model - IS, BS, CF'!$C$32:$F$78,$E$2,0)</f>
        <v>23967</v>
      </c>
      <c r="F15" s="51">
        <f>VLOOKUP($C15,'Operating Model - IS, BS, CF'!$C$32:$F$78,$F$2,0)</f>
        <v>30729</v>
      </c>
      <c r="G15" s="51">
        <f>Assumption!G44</f>
        <v>30729</v>
      </c>
      <c r="H15" s="51">
        <f>Assumption!H44</f>
        <v>30729</v>
      </c>
      <c r="I15" s="51">
        <f>Assumption!I44</f>
        <v>30729</v>
      </c>
      <c r="J15" s="51">
        <f>Assumption!J44</f>
        <v>30729</v>
      </c>
      <c r="K15" s="51">
        <f>Assumption!K44</f>
        <v>30729</v>
      </c>
      <c r="O15" s="95" t="s">
        <v>148</v>
      </c>
      <c r="P15" s="96"/>
      <c r="Q15" s="97"/>
    </row>
    <row r="16" spans="2:17" ht="15" thickBot="1">
      <c r="C16" s="4" t="s">
        <v>133</v>
      </c>
      <c r="D16" s="115">
        <f>SUM(D14:D15)</f>
        <v>30337</v>
      </c>
      <c r="E16" s="115">
        <f t="shared" ref="E16:F16" si="9">SUM(E14:E15)</f>
        <v>31654</v>
      </c>
      <c r="F16" s="115">
        <f t="shared" si="9"/>
        <v>39623</v>
      </c>
      <c r="G16" s="115">
        <f>SUM(G14:G15)</f>
        <v>40622.829121853181</v>
      </c>
      <c r="H16" s="115">
        <f>SUM(H14:H15)</f>
        <v>42818.183315089722</v>
      </c>
      <c r="I16" s="115">
        <f>SUM(I14:I15)</f>
        <v>45500.667412674011</v>
      </c>
      <c r="J16" s="115">
        <f>SUM(J14:J15)</f>
        <v>48778.371282036504</v>
      </c>
      <c r="K16" s="115">
        <f>SUM(K14:K15)</f>
        <v>52783.368987301103</v>
      </c>
      <c r="O16" s="98" t="s">
        <v>149</v>
      </c>
      <c r="P16" s="99"/>
      <c r="Q16" s="100"/>
    </row>
    <row r="17" spans="3:19">
      <c r="C17" s="4"/>
      <c r="D17" s="115"/>
      <c r="E17" s="115"/>
      <c r="F17" s="115"/>
      <c r="G17" s="115"/>
      <c r="H17" s="115"/>
      <c r="I17" s="115"/>
      <c r="J17" s="115"/>
      <c r="K17" s="115"/>
    </row>
    <row r="18" spans="3:19">
      <c r="C18" s="1" t="s">
        <v>129</v>
      </c>
      <c r="D18" s="115">
        <f>D12-D16</f>
        <v>-10375</v>
      </c>
      <c r="E18" s="115">
        <f t="shared" ref="E18:F18" si="10">E12-E16</f>
        <v>-9424</v>
      </c>
      <c r="F18" s="115">
        <f t="shared" si="10"/>
        <v>-12493</v>
      </c>
      <c r="G18" s="115">
        <f>G12-G16</f>
        <v>-9765.3539681634429</v>
      </c>
      <c r="H18" s="115">
        <f>H12-H16</f>
        <v>-6747.045723972602</v>
      </c>
      <c r="I18" s="115">
        <f>I12-I16</f>
        <v>-3059.0012655460887</v>
      </c>
      <c r="J18" s="115">
        <f>J12-J16</f>
        <v>1447.3880184208319</v>
      </c>
      <c r="K18" s="115">
        <f>K12-K16</f>
        <v>6953.7056909892344</v>
      </c>
      <c r="O18" s="1" t="s">
        <v>152</v>
      </c>
    </row>
    <row r="19" spans="3:19">
      <c r="C19" s="1" t="s">
        <v>143</v>
      </c>
      <c r="D19" s="115"/>
      <c r="E19" s="115"/>
      <c r="F19" s="115"/>
      <c r="G19" s="115">
        <f>G18-F18</f>
        <v>2727.6460318365571</v>
      </c>
      <c r="H19" s="115">
        <f>H18-G18</f>
        <v>3018.3082441908409</v>
      </c>
      <c r="I19" s="115">
        <f>I18-H18</f>
        <v>3688.0444584265133</v>
      </c>
      <c r="J19" s="115">
        <f>J18-I18</f>
        <v>4506.3892839669206</v>
      </c>
      <c r="K19" s="115">
        <f>K18-J18</f>
        <v>5506.3176725684025</v>
      </c>
    </row>
    <row r="20" spans="3:19">
      <c r="D20" s="43"/>
      <c r="E20" s="43"/>
      <c r="F20" s="43"/>
      <c r="G20" s="43"/>
      <c r="H20" s="43"/>
      <c r="I20" s="43"/>
      <c r="J20" s="43"/>
      <c r="K20" s="43"/>
      <c r="O20" s="101" t="s">
        <v>151</v>
      </c>
      <c r="P20" s="91"/>
      <c r="Q20" s="91"/>
      <c r="R20" s="91"/>
      <c r="S20" s="91"/>
    </row>
    <row r="21" spans="3:19">
      <c r="C21" t="s">
        <v>135</v>
      </c>
      <c r="D21" s="43"/>
      <c r="E21" s="116">
        <f t="shared" ref="E21" si="11">E5/AVERAGE(D9:E9)</f>
        <v>9.9207550583481598</v>
      </c>
      <c r="F21" s="116">
        <f>F5/AVERAGE(E9:F9)</f>
        <v>10.933057693876997</v>
      </c>
      <c r="G21" s="116">
        <f>Assumption!G45/Assumption!G46</f>
        <v>10.402336369704775</v>
      </c>
      <c r="H21" s="116">
        <f>Assumption!H45/Assumption!H46</f>
        <v>10.402336369704775</v>
      </c>
      <c r="I21" s="116">
        <f>Assumption!I45/Assumption!I46</f>
        <v>10.402336369704775</v>
      </c>
      <c r="J21" s="116">
        <f>Assumption!J45/Assumption!J46</f>
        <v>10.402336369704775</v>
      </c>
      <c r="K21" s="116">
        <f>Assumption!K45/Assumption!K46</f>
        <v>10.402336369704775</v>
      </c>
    </row>
    <row r="22" spans="3:19">
      <c r="C22" t="s">
        <v>136</v>
      </c>
      <c r="D22" s="43"/>
      <c r="E22" s="117" t="str">
        <f>IFERROR(E6/AVERAGE(D10:E10),"n.a.")</f>
        <v>n.a.</v>
      </c>
      <c r="F22" s="117" t="str">
        <f>IFERROR(F6/AVERAGE(E10:F10),"n.a.")</f>
        <v>n.a.</v>
      </c>
      <c r="G22" s="118" t="s">
        <v>142</v>
      </c>
      <c r="H22" s="118" t="s">
        <v>142</v>
      </c>
      <c r="I22" s="118" t="s">
        <v>142</v>
      </c>
      <c r="J22" s="118" t="s">
        <v>142</v>
      </c>
      <c r="K22" s="118" t="s">
        <v>142</v>
      </c>
    </row>
    <row r="23" spans="3:19">
      <c r="D23" s="43"/>
      <c r="E23" s="116"/>
      <c r="F23" s="116"/>
      <c r="G23" s="43"/>
      <c r="H23" s="43"/>
      <c r="I23" s="43"/>
      <c r="J23" s="43"/>
      <c r="K23" s="43"/>
    </row>
    <row r="24" spans="3:19">
      <c r="C24" t="s">
        <v>137</v>
      </c>
      <c r="D24" s="43"/>
      <c r="E24" s="116">
        <f>-E6/AVERAGE(D14:E14)</f>
        <v>4.8119017230376517</v>
      </c>
      <c r="F24" s="116">
        <f>-F6/AVERAGE(E14:F14)</f>
        <v>4.3634280200229174</v>
      </c>
      <c r="G24" s="116">
        <f>Assumption!G45/Assumption!G48</f>
        <v>4.5767045753922702</v>
      </c>
      <c r="H24" s="116">
        <f>Assumption!H45/Assumption!H48</f>
        <v>4.5767045753922702</v>
      </c>
      <c r="I24" s="116">
        <f>Assumption!I45/Assumption!I48</f>
        <v>4.5767045753922702</v>
      </c>
      <c r="J24" s="116">
        <f>Assumption!J45/Assumption!J48</f>
        <v>4.5767045753922702</v>
      </c>
      <c r="K24" s="116">
        <f>Assumption!K45/Assumption!K48</f>
        <v>4.5767045753922702</v>
      </c>
    </row>
    <row r="25" spans="3:19">
      <c r="D25" s="43"/>
      <c r="E25" s="43"/>
      <c r="F25" s="43"/>
      <c r="G25" s="43"/>
      <c r="H25" s="43"/>
      <c r="I25" s="43"/>
      <c r="J25" s="43"/>
      <c r="K25" s="43"/>
    </row>
    <row r="26" spans="3:19">
      <c r="M26" s="90"/>
    </row>
    <row r="30" spans="3:19">
      <c r="D30" s="43"/>
      <c r="E30" s="43"/>
      <c r="F30" s="43"/>
      <c r="G30" s="43"/>
      <c r="H30" s="43"/>
      <c r="I30" s="43"/>
      <c r="J30" s="43"/>
      <c r="K30" s="43"/>
    </row>
  </sheetData>
  <mergeCells count="1">
    <mergeCell ref="D3:K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86B8-BF50-488E-8F43-E463BEB45350}">
  <dimension ref="B3:M22"/>
  <sheetViews>
    <sheetView workbookViewId="0"/>
  </sheetViews>
  <sheetFormatPr defaultRowHeight="14.4"/>
  <cols>
    <col min="2" max="2" width="2" bestFit="1" customWidth="1"/>
    <col min="3" max="3" width="24" bestFit="1" customWidth="1"/>
  </cols>
  <sheetData>
    <row r="3" spans="2:13">
      <c r="B3" t="s">
        <v>112</v>
      </c>
      <c r="C3" s="5" t="s">
        <v>4</v>
      </c>
      <c r="D3" s="153" t="s">
        <v>2</v>
      </c>
      <c r="E3" s="153"/>
      <c r="F3" s="153"/>
      <c r="G3" s="153"/>
      <c r="H3" s="153"/>
      <c r="I3" s="153"/>
      <c r="J3" s="153"/>
      <c r="K3" s="153"/>
    </row>
    <row r="4" spans="2:13">
      <c r="D4" s="61">
        <v>2023</v>
      </c>
      <c r="E4" s="62">
        <f>D4+1</f>
        <v>2024</v>
      </c>
      <c r="F4" s="62">
        <f>E4+1</f>
        <v>2025</v>
      </c>
      <c r="G4" s="55">
        <f t="shared" ref="G4:K4" si="0">F4+1</f>
        <v>2026</v>
      </c>
      <c r="H4" s="55">
        <f t="shared" si="0"/>
        <v>2027</v>
      </c>
      <c r="I4" s="55">
        <f t="shared" si="0"/>
        <v>2028</v>
      </c>
      <c r="J4" s="55">
        <f t="shared" si="0"/>
        <v>2029</v>
      </c>
      <c r="K4" s="55">
        <f t="shared" si="0"/>
        <v>2030</v>
      </c>
    </row>
    <row r="5" spans="2:13">
      <c r="C5" t="s">
        <v>155</v>
      </c>
      <c r="D5" s="71"/>
      <c r="E5" s="71">
        <f>D8</f>
        <v>71098</v>
      </c>
      <c r="F5" s="71">
        <f t="shared" ref="F5:K5" si="1">E8</f>
        <v>80131</v>
      </c>
      <c r="G5" s="15">
        <f t="shared" si="1"/>
        <v>96064</v>
      </c>
      <c r="H5" s="15">
        <f t="shared" si="1"/>
        <v>96064</v>
      </c>
      <c r="I5" s="15">
        <f t="shared" si="1"/>
        <v>96064</v>
      </c>
      <c r="J5" s="15">
        <f t="shared" si="1"/>
        <v>96064</v>
      </c>
      <c r="K5" s="15">
        <f t="shared" si="1"/>
        <v>96064</v>
      </c>
    </row>
    <row r="6" spans="2:13">
      <c r="B6" t="s">
        <v>118</v>
      </c>
      <c r="C6" t="s">
        <v>153</v>
      </c>
      <c r="D6" s="71"/>
      <c r="E6" s="71"/>
      <c r="F6" s="71"/>
      <c r="G6" s="15">
        <f>Assumption!G38</f>
        <v>0</v>
      </c>
      <c r="H6" s="15">
        <f>Assumption!H38</f>
        <v>0</v>
      </c>
      <c r="I6" s="15">
        <f>Assumption!I38</f>
        <v>0</v>
      </c>
      <c r="J6" s="15">
        <f>Assumption!J38</f>
        <v>0</v>
      </c>
      <c r="K6" s="15">
        <f>Assumption!K38</f>
        <v>0</v>
      </c>
      <c r="M6" s="1" t="s">
        <v>162</v>
      </c>
    </row>
    <row r="7" spans="2:13">
      <c r="B7" t="s">
        <v>119</v>
      </c>
      <c r="C7" t="s">
        <v>154</v>
      </c>
      <c r="D7" s="71"/>
      <c r="E7" s="71"/>
      <c r="F7" s="71"/>
      <c r="G7" s="15">
        <f>Assumption!G39</f>
        <v>0</v>
      </c>
      <c r="H7" s="15">
        <f>Assumption!H39</f>
        <v>0</v>
      </c>
      <c r="I7" s="15">
        <f>Assumption!I39</f>
        <v>0</v>
      </c>
      <c r="J7" s="15">
        <f>Assumption!J39</f>
        <v>0</v>
      </c>
      <c r="K7" s="15">
        <f>Assumption!K39</f>
        <v>0</v>
      </c>
    </row>
    <row r="8" spans="2:13">
      <c r="C8" t="s">
        <v>156</v>
      </c>
      <c r="D8" s="71">
        <f>'Operating Model - IS, BS, CF'!D72</f>
        <v>71098</v>
      </c>
      <c r="E8" s="71">
        <f>'Operating Model - IS, BS, CF'!E72</f>
        <v>80131</v>
      </c>
      <c r="F8" s="71">
        <f>'Operating Model - IS, BS, CF'!F72</f>
        <v>96064</v>
      </c>
      <c r="G8" s="15">
        <f>SUM(G5:G7)</f>
        <v>96064</v>
      </c>
      <c r="H8" s="15">
        <f t="shared" ref="H8:K8" si="2">SUM(H5:H7)</f>
        <v>96064</v>
      </c>
      <c r="I8" s="15">
        <f t="shared" si="2"/>
        <v>96064</v>
      </c>
      <c r="J8" s="15">
        <f t="shared" si="2"/>
        <v>96064</v>
      </c>
      <c r="K8" s="15">
        <f t="shared" si="2"/>
        <v>96064</v>
      </c>
    </row>
    <row r="9" spans="2:13">
      <c r="D9" s="71"/>
      <c r="E9" s="71"/>
      <c r="F9" s="71"/>
      <c r="G9" s="15"/>
      <c r="H9" s="15"/>
      <c r="I9" s="15"/>
      <c r="J9" s="15"/>
      <c r="K9" s="15"/>
    </row>
    <row r="10" spans="2:13">
      <c r="C10" t="s">
        <v>157</v>
      </c>
      <c r="D10" s="71"/>
      <c r="E10" s="71">
        <f>D13</f>
        <v>82070</v>
      </c>
      <c r="F10" s="71">
        <f t="shared" ref="F10:G10" si="3">E13</f>
        <v>102506</v>
      </c>
      <c r="G10" s="15">
        <f t="shared" si="3"/>
        <v>121179</v>
      </c>
      <c r="H10" s="15">
        <f ca="1">G13</f>
        <v>190795.57267773256</v>
      </c>
      <c r="I10" s="15">
        <f ca="1">H13</f>
        <v>277426.21427047584</v>
      </c>
      <c r="J10" s="15">
        <f ca="1">I13</f>
        <v>385017.3470682624</v>
      </c>
      <c r="K10" s="15">
        <f ca="1">J13</f>
        <v>518195.35522534582</v>
      </c>
    </row>
    <row r="11" spans="2:13">
      <c r="B11" t="s">
        <v>118</v>
      </c>
      <c r="C11" t="s">
        <v>27</v>
      </c>
      <c r="D11" s="71">
        <f>'Operating Model - IS, BS, CF'!D22</f>
        <v>39098</v>
      </c>
      <c r="E11" s="71">
        <f>'Operating Model - IS, BS, CF'!E22</f>
        <v>62360</v>
      </c>
      <c r="F11" s="71">
        <f>'Operating Model - IS, BS, CF'!F22</f>
        <v>60458</v>
      </c>
      <c r="G11" s="15">
        <f ca="1">'Operating Model - IS, BS, CF'!G22</f>
        <v>74929.572677732576</v>
      </c>
      <c r="H11" s="15">
        <f ca="1">'Operating Model - IS, BS, CF'!H22</f>
        <v>91943.641592743297</v>
      </c>
      <c r="I11" s="15">
        <f ca="1">'Operating Model - IS, BS, CF'!I22</f>
        <v>112904.13279778653</v>
      </c>
      <c r="J11" s="15">
        <f ca="1">'Operating Model - IS, BS, CF'!J22</f>
        <v>138491.00815708342</v>
      </c>
      <c r="K11" s="15">
        <f ca="1">'Operating Model - IS, BS, CF'!K22</f>
        <v>169726.97426898562</v>
      </c>
    </row>
    <row r="12" spans="2:13">
      <c r="B12" t="s">
        <v>119</v>
      </c>
      <c r="C12" t="s">
        <v>158</v>
      </c>
      <c r="D12" s="71"/>
      <c r="E12" s="71">
        <f>-Assumption!E36*Assumption!E37</f>
        <v>-5068</v>
      </c>
      <c r="F12" s="71">
        <f>-Assumption!F36*Assumption!F37</f>
        <v>-5313</v>
      </c>
      <c r="G12" s="71">
        <f>-Assumption!G36*Assumption!G37</f>
        <v>-5313</v>
      </c>
      <c r="H12" s="71">
        <f>-Assumption!H36*Assumption!H37</f>
        <v>-5313</v>
      </c>
      <c r="I12" s="71">
        <f>-Assumption!I36*Assumption!I37</f>
        <v>-5313</v>
      </c>
      <c r="J12" s="71">
        <f>-Assumption!J36*Assumption!J37</f>
        <v>-5313</v>
      </c>
      <c r="K12" s="71">
        <f>-Assumption!K36*Assumption!K37</f>
        <v>-5313</v>
      </c>
    </row>
    <row r="13" spans="2:13">
      <c r="C13" t="s">
        <v>159</v>
      </c>
      <c r="D13" s="71">
        <f>'Operating Model - IS, BS, CF'!D73</f>
        <v>82070</v>
      </c>
      <c r="E13" s="71">
        <f>'Operating Model - IS, BS, CF'!E73</f>
        <v>102506</v>
      </c>
      <c r="F13" s="71">
        <f>'Operating Model - IS, BS, CF'!F73</f>
        <v>121179</v>
      </c>
      <c r="G13" s="15">
        <f ca="1">SUM(G10:G12)</f>
        <v>190795.57267773256</v>
      </c>
      <c r="H13" s="15">
        <f ca="1">SUM(H10:H12)</f>
        <v>277426.21427047584</v>
      </c>
      <c r="I13" s="15">
        <f ca="1">SUM(I10:I12)</f>
        <v>385017.3470682624</v>
      </c>
      <c r="J13" s="15">
        <f ca="1">SUM(J10:J12)</f>
        <v>518195.35522534582</v>
      </c>
      <c r="K13" s="15">
        <f ca="1">SUM(K10:K12)</f>
        <v>682609.3294943315</v>
      </c>
    </row>
    <row r="14" spans="2:13">
      <c r="D14" s="71"/>
      <c r="E14" s="71"/>
      <c r="F14" s="71"/>
      <c r="G14" s="15"/>
      <c r="H14" s="15"/>
      <c r="I14" s="15"/>
      <c r="J14" s="15"/>
      <c r="K14" s="15"/>
    </row>
    <row r="16" spans="2:13">
      <c r="D16" s="71"/>
      <c r="E16" s="71"/>
      <c r="F16" s="71"/>
      <c r="G16" s="15"/>
      <c r="H16" s="15"/>
      <c r="I16" s="15"/>
      <c r="J16" s="15"/>
      <c r="K16" s="15"/>
    </row>
    <row r="18" spans="4:11">
      <c r="D18" s="71"/>
      <c r="E18" s="71"/>
      <c r="F18" s="71"/>
      <c r="G18" s="15"/>
      <c r="H18" s="15"/>
      <c r="I18" s="15"/>
      <c r="J18" s="15"/>
      <c r="K18" s="15"/>
    </row>
    <row r="19" spans="4:11">
      <c r="D19" s="71"/>
      <c r="E19" s="71"/>
      <c r="F19" s="71"/>
      <c r="G19" s="15"/>
      <c r="H19" s="15"/>
      <c r="I19" s="15"/>
      <c r="J19" s="15"/>
      <c r="K19" s="15"/>
    </row>
    <row r="20" spans="4:11">
      <c r="D20" s="71"/>
      <c r="E20" s="71"/>
      <c r="F20" s="71"/>
      <c r="G20" s="15"/>
      <c r="H20" s="15"/>
      <c r="I20" s="15"/>
      <c r="J20" s="15"/>
      <c r="K20" s="15"/>
    </row>
    <row r="21" spans="4:11">
      <c r="D21" s="71"/>
      <c r="E21" s="71"/>
      <c r="F21" s="71"/>
      <c r="G21" s="15"/>
      <c r="H21" s="15"/>
      <c r="I21" s="15"/>
      <c r="J21" s="15"/>
      <c r="K21" s="15"/>
    </row>
    <row r="22" spans="4:11">
      <c r="D22" s="71"/>
      <c r="E22" s="71"/>
      <c r="F22" s="71"/>
      <c r="G22" s="15"/>
      <c r="H22" s="15"/>
      <c r="I22" s="15"/>
      <c r="J22" s="15"/>
      <c r="K22" s="15"/>
    </row>
  </sheetData>
  <mergeCells count="1">
    <mergeCell ref="D3:K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C362-E89F-40B2-8570-033E282A3C67}">
  <dimension ref="B3:R50"/>
  <sheetViews>
    <sheetView workbookViewId="0">
      <pane xSplit="3" ySplit="4" topLeftCell="D5" activePane="bottomRight" state="frozen"/>
      <selection pane="topRight" activeCell="D1" sqref="D1"/>
      <selection pane="bottomLeft" activeCell="A5" sqref="A5"/>
      <selection pane="bottomRight"/>
    </sheetView>
  </sheetViews>
  <sheetFormatPr defaultRowHeight="14.4"/>
  <cols>
    <col min="2" max="2" width="2" bestFit="1" customWidth="1"/>
    <col min="3" max="3" width="30.5546875" bestFit="1" customWidth="1"/>
    <col min="13" max="13" width="43.77734375" bestFit="1" customWidth="1"/>
    <col min="14" max="14" width="10.5546875" bestFit="1" customWidth="1"/>
    <col min="15" max="15" width="17.44140625" bestFit="1" customWidth="1"/>
    <col min="16" max="16" width="17.44140625" customWidth="1"/>
    <col min="17" max="17" width="16.77734375" bestFit="1" customWidth="1"/>
    <col min="18" max="18" width="10.6640625" bestFit="1" customWidth="1"/>
  </cols>
  <sheetData>
    <row r="3" spans="2:18">
      <c r="B3" t="s">
        <v>112</v>
      </c>
      <c r="C3" s="5" t="s">
        <v>144</v>
      </c>
      <c r="D3" s="153" t="s">
        <v>2</v>
      </c>
      <c r="E3" s="153"/>
      <c r="F3" s="153"/>
      <c r="G3" s="153"/>
      <c r="H3" s="153"/>
      <c r="I3" s="153"/>
      <c r="J3" s="153"/>
      <c r="K3" s="153"/>
    </row>
    <row r="4" spans="2:18">
      <c r="D4" s="61">
        <v>2023</v>
      </c>
      <c r="E4" s="62">
        <f>D4+1</f>
        <v>2024</v>
      </c>
      <c r="F4" s="62">
        <f>E4+1</f>
        <v>2025</v>
      </c>
      <c r="G4" s="55">
        <f t="shared" ref="G4:K4" si="0">F4+1</f>
        <v>2026</v>
      </c>
      <c r="H4" s="55">
        <f t="shared" si="0"/>
        <v>2027</v>
      </c>
      <c r="I4" s="55">
        <f t="shared" si="0"/>
        <v>2028</v>
      </c>
      <c r="J4" s="55">
        <f t="shared" si="0"/>
        <v>2029</v>
      </c>
      <c r="K4" s="55">
        <f t="shared" si="0"/>
        <v>2030</v>
      </c>
      <c r="M4" s="1" t="s">
        <v>191</v>
      </c>
    </row>
    <row r="6" spans="2:18">
      <c r="C6" t="s">
        <v>163</v>
      </c>
      <c r="D6" s="71"/>
      <c r="E6" s="71">
        <f>D9</f>
        <v>18385</v>
      </c>
      <c r="F6" s="71">
        <f t="shared" ref="F6:K6" si="1">E9</f>
        <v>28826</v>
      </c>
      <c r="G6" s="84">
        <f t="shared" si="1"/>
        <v>58744</v>
      </c>
      <c r="H6" s="84">
        <f t="shared" si="1"/>
        <v>58744</v>
      </c>
      <c r="I6" s="84">
        <f t="shared" si="1"/>
        <v>55994</v>
      </c>
      <c r="J6" s="84">
        <f t="shared" si="1"/>
        <v>54494</v>
      </c>
      <c r="K6" s="84">
        <f t="shared" si="1"/>
        <v>53494</v>
      </c>
      <c r="M6" s="110" t="s">
        <v>190</v>
      </c>
      <c r="N6" s="110" t="s">
        <v>173</v>
      </c>
      <c r="O6" s="110" t="s">
        <v>174</v>
      </c>
      <c r="P6" s="110" t="s">
        <v>188</v>
      </c>
      <c r="Q6" s="110" t="s">
        <v>175</v>
      </c>
      <c r="R6" s="110" t="s">
        <v>192</v>
      </c>
    </row>
    <row r="7" spans="2:18">
      <c r="B7" t="s">
        <v>118</v>
      </c>
      <c r="C7" t="s">
        <v>165</v>
      </c>
      <c r="D7" s="71"/>
      <c r="E7" s="71"/>
      <c r="F7" s="71"/>
      <c r="G7" s="84">
        <f>Assumption!G51</f>
        <v>0</v>
      </c>
      <c r="H7" s="84">
        <f>Assumption!H51</f>
        <v>0</v>
      </c>
      <c r="I7" s="84">
        <f>Assumption!I51</f>
        <v>0</v>
      </c>
      <c r="J7" s="84">
        <f>Assumption!J51</f>
        <v>0</v>
      </c>
      <c r="K7" s="84">
        <f>Assumption!K51</f>
        <v>0</v>
      </c>
      <c r="M7" t="s">
        <v>176</v>
      </c>
      <c r="N7" t="s">
        <v>177</v>
      </c>
      <c r="O7" t="s">
        <v>178</v>
      </c>
      <c r="P7" s="105">
        <v>4.0750000000000001E-2</v>
      </c>
      <c r="Q7" s="9">
        <v>10000</v>
      </c>
      <c r="R7" s="89">
        <f>Q7*P7</f>
        <v>407.5</v>
      </c>
    </row>
    <row r="8" spans="2:18">
      <c r="B8" t="s">
        <v>119</v>
      </c>
      <c r="C8" t="s">
        <v>166</v>
      </c>
      <c r="D8" s="71"/>
      <c r="E8" s="71"/>
      <c r="F8" s="71"/>
      <c r="G8" s="84">
        <f>Assumption!G52</f>
        <v>0</v>
      </c>
      <c r="H8" s="84">
        <f>Assumption!H52</f>
        <v>-2750</v>
      </c>
      <c r="I8" s="84">
        <f>Assumption!I52</f>
        <v>-1500</v>
      </c>
      <c r="J8" s="84">
        <f>Assumption!J52</f>
        <v>-1000</v>
      </c>
      <c r="K8" s="84">
        <f>Assumption!K52</f>
        <v>-5000</v>
      </c>
      <c r="M8" t="s">
        <v>179</v>
      </c>
      <c r="N8" t="s">
        <v>180</v>
      </c>
      <c r="O8" t="s">
        <v>181</v>
      </c>
      <c r="P8" s="105">
        <v>5.1750000000000004E-2</v>
      </c>
      <c r="Q8" s="9">
        <v>8500</v>
      </c>
      <c r="R8" s="89">
        <f t="shared" ref="R8:R10" si="2">Q8*P8</f>
        <v>439.87500000000006</v>
      </c>
    </row>
    <row r="9" spans="2:18">
      <c r="C9" s="1" t="s">
        <v>164</v>
      </c>
      <c r="D9" s="111">
        <f>'Operating Model - IS, BS, CF'!D62</f>
        <v>18385</v>
      </c>
      <c r="E9" s="111">
        <f>'Operating Model - IS, BS, CF'!E62</f>
        <v>28826</v>
      </c>
      <c r="F9" s="111">
        <f>'Operating Model - IS, BS, CF'!F62</f>
        <v>58744</v>
      </c>
      <c r="G9" s="88">
        <f t="shared" ref="G9:K9" si="3">SUM(G6:G8)</f>
        <v>58744</v>
      </c>
      <c r="H9" s="88">
        <f t="shared" si="3"/>
        <v>55994</v>
      </c>
      <c r="I9" s="88">
        <f t="shared" si="3"/>
        <v>54494</v>
      </c>
      <c r="J9" s="88">
        <f t="shared" si="3"/>
        <v>53494</v>
      </c>
      <c r="K9" s="88">
        <f t="shared" si="3"/>
        <v>48494</v>
      </c>
      <c r="M9" t="s">
        <v>182</v>
      </c>
      <c r="N9" t="s">
        <v>183</v>
      </c>
      <c r="O9" t="s">
        <v>184</v>
      </c>
      <c r="P9" s="105">
        <v>4.9250000000000002E-2</v>
      </c>
      <c r="Q9" s="9">
        <v>10500</v>
      </c>
      <c r="R9" s="89">
        <f t="shared" si="2"/>
        <v>517.125</v>
      </c>
    </row>
    <row r="10" spans="2:18">
      <c r="D10" s="71"/>
      <c r="E10" s="71"/>
      <c r="F10" s="71"/>
      <c r="G10" s="84"/>
      <c r="H10" s="84"/>
      <c r="I10" s="84"/>
      <c r="J10" s="84"/>
      <c r="K10" s="84"/>
      <c r="M10" t="s">
        <v>185</v>
      </c>
      <c r="N10" t="s">
        <v>186</v>
      </c>
      <c r="O10" t="s">
        <v>187</v>
      </c>
      <c r="P10" s="105">
        <v>4.9750000000000003E-2</v>
      </c>
      <c r="Q10" s="9">
        <v>30000</v>
      </c>
      <c r="R10" s="89">
        <f t="shared" si="2"/>
        <v>1492.5</v>
      </c>
    </row>
    <row r="11" spans="2:18" ht="15" thickBot="1">
      <c r="C11" t="s">
        <v>167</v>
      </c>
      <c r="D11" s="71"/>
      <c r="E11" s="71">
        <f>D14</f>
        <v>0</v>
      </c>
      <c r="F11" s="71">
        <f t="shared" ref="F11:K11" si="4">E14</f>
        <v>0</v>
      </c>
      <c r="G11" s="84">
        <f t="shared" si="4"/>
        <v>0</v>
      </c>
      <c r="H11" s="84">
        <f t="shared" si="4"/>
        <v>0</v>
      </c>
      <c r="I11" s="84">
        <f t="shared" si="4"/>
        <v>0</v>
      </c>
      <c r="J11" s="84">
        <f t="shared" si="4"/>
        <v>0</v>
      </c>
      <c r="K11" s="84">
        <f t="shared" si="4"/>
        <v>0</v>
      </c>
      <c r="M11" s="106" t="s">
        <v>189</v>
      </c>
      <c r="N11" s="107"/>
      <c r="O11" s="107"/>
      <c r="P11" s="108">
        <f>Assumption!G67</f>
        <v>4.8423728813559323E-2</v>
      </c>
      <c r="Q11" s="106">
        <f>SUM(Q7:Q10)</f>
        <v>59000</v>
      </c>
      <c r="R11" s="109">
        <f>SUM(R7:R10)</f>
        <v>2857</v>
      </c>
    </row>
    <row r="12" spans="2:18" ht="15" thickTop="1">
      <c r="B12" t="s">
        <v>118</v>
      </c>
      <c r="C12" t="s">
        <v>165</v>
      </c>
      <c r="D12" s="71"/>
      <c r="E12" s="71"/>
      <c r="F12" s="71"/>
      <c r="G12" s="84">
        <f>Assumption!G55</f>
        <v>0</v>
      </c>
      <c r="H12" s="84">
        <f>Assumption!H55</f>
        <v>0</v>
      </c>
      <c r="I12" s="84">
        <f>Assumption!I55</f>
        <v>0</v>
      </c>
      <c r="J12" s="84">
        <f>Assumption!J55</f>
        <v>0</v>
      </c>
      <c r="K12" s="84">
        <f>Assumption!K55</f>
        <v>0</v>
      </c>
    </row>
    <row r="13" spans="2:18">
      <c r="B13" t="s">
        <v>119</v>
      </c>
      <c r="C13" t="s">
        <v>166</v>
      </c>
      <c r="D13" s="71"/>
      <c r="E13" s="71"/>
      <c r="F13" s="71"/>
      <c r="G13" s="84">
        <f>Assumption!G56</f>
        <v>0</v>
      </c>
      <c r="H13" s="84">
        <f>Assumption!H56</f>
        <v>0</v>
      </c>
      <c r="I13" s="84">
        <f>Assumption!I56</f>
        <v>0</v>
      </c>
      <c r="J13" s="84">
        <f>Assumption!J56</f>
        <v>0</v>
      </c>
      <c r="K13" s="84">
        <f>Assumption!K56</f>
        <v>0</v>
      </c>
      <c r="M13" s="1" t="s">
        <v>195</v>
      </c>
      <c r="N13" s="112">
        <f>Assumption!G66</f>
        <v>1.4999999999999999E-2</v>
      </c>
    </row>
    <row r="14" spans="2:18">
      <c r="C14" s="1" t="s">
        <v>168</v>
      </c>
      <c r="D14" s="111">
        <v>0</v>
      </c>
      <c r="E14" s="111">
        <v>0</v>
      </c>
      <c r="F14" s="111">
        <v>0</v>
      </c>
      <c r="G14" s="88">
        <f>SUM(G11:G13)</f>
        <v>0</v>
      </c>
      <c r="H14" s="88">
        <f t="shared" ref="H14" si="5">SUM(H11:H13)</f>
        <v>0</v>
      </c>
      <c r="I14" s="88">
        <f t="shared" ref="I14" si="6">SUM(I11:I13)</f>
        <v>0</v>
      </c>
      <c r="J14" s="88">
        <f t="shared" ref="J14" si="7">SUM(J11:J13)</f>
        <v>0</v>
      </c>
      <c r="K14" s="88">
        <f t="shared" ref="K14" si="8">SUM(K11:K13)</f>
        <v>0</v>
      </c>
    </row>
    <row r="15" spans="2:18">
      <c r="D15" s="71"/>
      <c r="E15" s="71"/>
      <c r="F15" s="71"/>
      <c r="G15" s="84"/>
      <c r="H15" s="84"/>
      <c r="I15" s="84"/>
      <c r="J15" s="84"/>
      <c r="K15" s="84"/>
    </row>
    <row r="16" spans="2:18">
      <c r="C16" t="s">
        <v>169</v>
      </c>
      <c r="D16" s="71"/>
      <c r="E16" s="71">
        <f>D19</f>
        <v>1623</v>
      </c>
      <c r="F16" s="71">
        <f t="shared" ref="F16:K16" si="9">E19</f>
        <v>1942</v>
      </c>
      <c r="G16" s="84">
        <f t="shared" si="9"/>
        <v>2213</v>
      </c>
      <c r="H16" s="84">
        <f t="shared" si="9"/>
        <v>0</v>
      </c>
      <c r="I16" s="84">
        <f t="shared" si="9"/>
        <v>0</v>
      </c>
      <c r="J16" s="84">
        <f t="shared" si="9"/>
        <v>0</v>
      </c>
      <c r="K16" s="84">
        <f t="shared" si="9"/>
        <v>0</v>
      </c>
    </row>
    <row r="17" spans="2:11">
      <c r="B17" t="s">
        <v>118</v>
      </c>
      <c r="C17" t="s">
        <v>165</v>
      </c>
      <c r="D17" s="71"/>
      <c r="E17" s="71"/>
      <c r="F17" s="71"/>
      <c r="G17" s="84">
        <f>Assumption!G63</f>
        <v>0</v>
      </c>
      <c r="H17" s="84">
        <f>Assumption!H63</f>
        <v>0</v>
      </c>
      <c r="I17" s="84">
        <f>Assumption!I63</f>
        <v>0</v>
      </c>
      <c r="J17" s="84">
        <f>Assumption!J63</f>
        <v>0</v>
      </c>
      <c r="K17" s="84">
        <f>Assumption!K63</f>
        <v>0</v>
      </c>
    </row>
    <row r="18" spans="2:11">
      <c r="B18" t="s">
        <v>119</v>
      </c>
      <c r="C18" t="s">
        <v>166</v>
      </c>
      <c r="D18" s="71"/>
      <c r="E18" s="71"/>
      <c r="F18" s="71"/>
      <c r="G18" s="84">
        <f>Assumption!G64</f>
        <v>-2213</v>
      </c>
      <c r="H18" s="84">
        <f>Assumption!H64</f>
        <v>0</v>
      </c>
      <c r="I18" s="84">
        <f>Assumption!I64</f>
        <v>0</v>
      </c>
      <c r="J18" s="84">
        <f>Assumption!J64</f>
        <v>0</v>
      </c>
      <c r="K18" s="84">
        <f>Assumption!K64</f>
        <v>0</v>
      </c>
    </row>
    <row r="19" spans="2:11">
      <c r="C19" s="1" t="s">
        <v>170</v>
      </c>
      <c r="D19" s="111">
        <f>'Operating Model - IS, BS, CF'!D57</f>
        <v>1623</v>
      </c>
      <c r="E19" s="111">
        <f>'Operating Model - IS, BS, CF'!E57</f>
        <v>1942</v>
      </c>
      <c r="F19" s="111">
        <f>'Operating Model - IS, BS, CF'!F57</f>
        <v>2213</v>
      </c>
      <c r="G19" s="88">
        <f>SUM(G16:G18)</f>
        <v>0</v>
      </c>
      <c r="H19" s="88">
        <f t="shared" ref="H19" si="10">SUM(H16:H18)</f>
        <v>0</v>
      </c>
      <c r="I19" s="88">
        <f t="shared" ref="I19" si="11">SUM(I16:I18)</f>
        <v>0</v>
      </c>
      <c r="J19" s="88">
        <f t="shared" ref="J19" si="12">SUM(J16:J18)</f>
        <v>0</v>
      </c>
      <c r="K19" s="88">
        <f t="shared" ref="K19" si="13">SUM(K16:K18)</f>
        <v>0</v>
      </c>
    </row>
    <row r="20" spans="2:11">
      <c r="D20" s="71"/>
      <c r="E20" s="71"/>
      <c r="F20" s="71"/>
      <c r="G20" s="84"/>
      <c r="H20" s="84"/>
      <c r="I20" s="84"/>
      <c r="J20" s="84"/>
      <c r="K20" s="84"/>
    </row>
    <row r="21" spans="2:11">
      <c r="C21" t="s">
        <v>171</v>
      </c>
      <c r="D21" s="71"/>
      <c r="E21" s="71">
        <f>D24</f>
        <v>17226</v>
      </c>
      <c r="F21" s="71">
        <f t="shared" ref="F21:K21" si="14">E24</f>
        <v>18292</v>
      </c>
      <c r="G21" s="84">
        <f t="shared" si="14"/>
        <v>22940</v>
      </c>
      <c r="H21" s="84">
        <f t="shared" si="14"/>
        <v>21942</v>
      </c>
      <c r="I21" s="84">
        <f t="shared" si="14"/>
        <v>18705</v>
      </c>
      <c r="J21" s="84">
        <f t="shared" si="14"/>
        <v>15648</v>
      </c>
      <c r="K21" s="84">
        <f t="shared" si="14"/>
        <v>12663</v>
      </c>
    </row>
    <row r="22" spans="2:11">
      <c r="B22" t="s">
        <v>118</v>
      </c>
      <c r="C22" t="s">
        <v>165</v>
      </c>
      <c r="D22" s="71"/>
      <c r="E22" s="71"/>
      <c r="F22" s="71"/>
      <c r="G22" s="84">
        <f>Assumption!G59</f>
        <v>0</v>
      </c>
      <c r="H22" s="84">
        <f>Assumption!H59</f>
        <v>0</v>
      </c>
      <c r="I22" s="84">
        <f>Assumption!I59</f>
        <v>0</v>
      </c>
      <c r="J22" s="84">
        <f>Assumption!J59</f>
        <v>0</v>
      </c>
      <c r="K22" s="84">
        <f>Assumption!K59</f>
        <v>0</v>
      </c>
    </row>
    <row r="23" spans="2:11">
      <c r="B23" t="s">
        <v>119</v>
      </c>
      <c r="C23" t="s">
        <v>166</v>
      </c>
      <c r="D23" s="71"/>
      <c r="E23" s="71"/>
      <c r="F23" s="71"/>
      <c r="G23" s="84">
        <f>Assumption!G60</f>
        <v>-998</v>
      </c>
      <c r="H23" s="84">
        <f>Assumption!H60</f>
        <v>-3237</v>
      </c>
      <c r="I23" s="84">
        <f>Assumption!I60</f>
        <v>-3057</v>
      </c>
      <c r="J23" s="84">
        <f>Assumption!J60</f>
        <v>-2985</v>
      </c>
      <c r="K23" s="84">
        <f>Assumption!K60</f>
        <v>-2621</v>
      </c>
    </row>
    <row r="24" spans="2:11">
      <c r="C24" s="1" t="s">
        <v>172</v>
      </c>
      <c r="D24" s="111">
        <f>'Operating Model - IS, BS, CF'!D63</f>
        <v>17226</v>
      </c>
      <c r="E24" s="111">
        <f>'Operating Model - IS, BS, CF'!E63</f>
        <v>18292</v>
      </c>
      <c r="F24" s="111">
        <f>'Operating Model - IS, BS, CF'!F63</f>
        <v>22940</v>
      </c>
      <c r="G24" s="88">
        <f>SUM(G21:G23)</f>
        <v>21942</v>
      </c>
      <c r="H24" s="88">
        <f t="shared" ref="H24" si="15">SUM(H21:H23)</f>
        <v>18705</v>
      </c>
      <c r="I24" s="88">
        <f t="shared" ref="I24" si="16">SUM(I21:I23)</f>
        <v>15648</v>
      </c>
      <c r="J24" s="88">
        <f t="shared" ref="J24" si="17">SUM(J21:J23)</f>
        <v>12663</v>
      </c>
      <c r="K24" s="88">
        <f t="shared" ref="K24" si="18">SUM(K21:K23)</f>
        <v>10042</v>
      </c>
    </row>
    <row r="25" spans="2:11">
      <c r="D25" s="71"/>
      <c r="E25" s="71"/>
      <c r="F25" s="71"/>
      <c r="G25" s="84"/>
      <c r="H25" s="84"/>
      <c r="I25" s="84"/>
      <c r="J25" s="84"/>
      <c r="K25" s="84"/>
    </row>
    <row r="26" spans="2:11">
      <c r="C26" t="s">
        <v>193</v>
      </c>
      <c r="D26" s="71"/>
      <c r="E26" s="71"/>
      <c r="F26" s="71"/>
      <c r="G26" s="84">
        <f>G6*Assumption!$G$67</f>
        <v>2844.603525423729</v>
      </c>
      <c r="H26" s="84">
        <f>H6*Assumption!$G$67</f>
        <v>2844.603525423729</v>
      </c>
      <c r="I26" s="84">
        <f>I6*Assumption!$G$67</f>
        <v>2711.4382711864409</v>
      </c>
      <c r="J26" s="84">
        <f>J6*Assumption!$G$67</f>
        <v>2638.8026779661018</v>
      </c>
      <c r="K26" s="84">
        <f>K6*Assumption!$G$67</f>
        <v>2590.3789491525426</v>
      </c>
    </row>
    <row r="27" spans="2:11">
      <c r="C27" t="s">
        <v>194</v>
      </c>
      <c r="D27" s="71"/>
      <c r="E27" s="71"/>
      <c r="F27" s="71"/>
      <c r="G27" s="51">
        <f ca="1">SUM('Operating Model - IS, BS, CF'!G34:G35)*Assumption!$G$66</f>
        <v>1334.8211058710622</v>
      </c>
      <c r="H27" s="51">
        <f ca="1">SUM('Operating Model - IS, BS, CF'!H34:H35)*Assumption!$G$66</f>
        <v>1490.7651670567791</v>
      </c>
      <c r="I27" s="51">
        <f ca="1">SUM('Operating Model - IS, BS, CF'!I34:I35)*Assumption!$G$66</f>
        <v>1764.7910659487734</v>
      </c>
      <c r="J27" s="51">
        <f ca="1">SUM('Operating Model - IS, BS, CF'!J34:J35)*Assumption!$G$66</f>
        <v>2158.6030695426452</v>
      </c>
      <c r="K27" s="51">
        <f ca="1">SUM('Operating Model - IS, BS, CF'!K34:K35)*Assumption!$G$66</f>
        <v>2644.1614845264007</v>
      </c>
    </row>
    <row r="28" spans="2:11">
      <c r="G28" s="51"/>
      <c r="H28" s="51"/>
      <c r="I28" s="51"/>
      <c r="J28" s="51"/>
      <c r="K28" s="51"/>
    </row>
    <row r="29" spans="2:11">
      <c r="C29" t="s">
        <v>196</v>
      </c>
      <c r="G29" s="51">
        <f ca="1">G27-G26</f>
        <v>-1509.7824195526669</v>
      </c>
      <c r="H29" s="51">
        <f ca="1">H27-H26</f>
        <v>-1353.8383583669499</v>
      </c>
      <c r="I29" s="51">
        <f ca="1">I27-I26</f>
        <v>-946.64720523766755</v>
      </c>
      <c r="J29" s="51">
        <f ca="1">J27-J26</f>
        <v>-480.19960842345654</v>
      </c>
      <c r="K29" s="51">
        <f ca="1">K27-K26</f>
        <v>53.782535373858082</v>
      </c>
    </row>
    <row r="30" spans="2:11">
      <c r="G30" s="51"/>
      <c r="H30" s="51"/>
      <c r="I30" s="51"/>
      <c r="J30" s="51"/>
      <c r="K30" s="51"/>
    </row>
    <row r="31" spans="2:11">
      <c r="G31" s="51"/>
      <c r="H31" s="51"/>
      <c r="I31" s="51"/>
      <c r="J31" s="51"/>
      <c r="K31" s="51"/>
    </row>
    <row r="32" spans="2:11">
      <c r="C32" s="1" t="s">
        <v>197</v>
      </c>
      <c r="G32" s="51"/>
      <c r="H32" s="51"/>
      <c r="I32" s="51"/>
      <c r="J32" s="51"/>
      <c r="K32" s="51"/>
    </row>
    <row r="33" spans="3:11">
      <c r="C33" t="s">
        <v>201</v>
      </c>
      <c r="G33" s="51">
        <f>'Operating Model - IS, BS, CF'!G112</f>
        <v>35873</v>
      </c>
      <c r="H33" s="51">
        <f ca="1">'Operating Model - IS, BS, CF'!H112</f>
        <v>43269.073724737478</v>
      </c>
      <c r="I33" s="51">
        <f ca="1">'Operating Model - IS, BS, CF'!I112</f>
        <v>53665.34447045195</v>
      </c>
      <c r="J33" s="51">
        <f ca="1">'Operating Model - IS, BS, CF'!J112</f>
        <v>71933.737729918226</v>
      </c>
      <c r="K33" s="51">
        <f ca="1">'Operating Model - IS, BS, CF'!K112</f>
        <v>98187.87130284305</v>
      </c>
    </row>
    <row r="34" spans="3:11">
      <c r="C34" t="s">
        <v>77</v>
      </c>
      <c r="G34" s="51">
        <f ca="1">'Operating Model - IS, BS, CF'!G91</f>
        <v>100679.44311069635</v>
      </c>
      <c r="H34" s="51">
        <f ca="1">'Operating Model - IS, BS, CF'!H91</f>
        <v>125263.00325729567</v>
      </c>
      <c r="I34" s="51">
        <f ca="1">'Operating Model - IS, BS, CF'!I91</f>
        <v>154685.67836588749</v>
      </c>
      <c r="J34" s="51">
        <f ca="1">'Operating Model - IS, BS, CF'!J91</f>
        <v>190179.15500584582</v>
      </c>
      <c r="K34" s="51">
        <f ca="1">'Operating Model - IS, BS, CF'!K91</f>
        <v>234241.9667845098</v>
      </c>
    </row>
    <row r="35" spans="3:11">
      <c r="C35" t="s">
        <v>80</v>
      </c>
      <c r="G35" s="51">
        <f>'Operating Model - IS, BS, CF'!G96</f>
        <v>-84759.369385958867</v>
      </c>
      <c r="H35" s="51">
        <f>'Operating Model - IS, BS, CF'!H96</f>
        <v>-103566.7325115812</v>
      </c>
      <c r="I35" s="51">
        <f>'Operating Model - IS, BS, CF'!I96</f>
        <v>-126547.28510642123</v>
      </c>
      <c r="J35" s="51">
        <f>'Operating Model - IS, BS, CF'!J96</f>
        <v>-154627.021432921</v>
      </c>
      <c r="K35" s="51">
        <f>'Operating Model - IS, BS, CF'!K96</f>
        <v>-188937.4057855928</v>
      </c>
    </row>
    <row r="36" spans="3:11">
      <c r="C36" t="s">
        <v>81</v>
      </c>
      <c r="G36" s="51">
        <f>'Operating Model - IS, BS, CF'!G98</f>
        <v>0</v>
      </c>
      <c r="H36" s="51">
        <f>'Operating Model - IS, BS, CF'!H98</f>
        <v>0</v>
      </c>
      <c r="I36" s="51">
        <f>'Operating Model - IS, BS, CF'!I98</f>
        <v>0</v>
      </c>
      <c r="J36" s="51">
        <f>'Operating Model - IS, BS, CF'!J98</f>
        <v>0</v>
      </c>
      <c r="K36" s="51">
        <f>'Operating Model - IS, BS, CF'!K98</f>
        <v>0</v>
      </c>
    </row>
    <row r="37" spans="3:11">
      <c r="C37" t="s">
        <v>82</v>
      </c>
      <c r="G37" s="51">
        <f>'Operating Model - IS, BS, CF'!G99</f>
        <v>0</v>
      </c>
      <c r="H37" s="51">
        <f>'Operating Model - IS, BS, CF'!H99</f>
        <v>0</v>
      </c>
      <c r="I37" s="51">
        <f>'Operating Model - IS, BS, CF'!I99</f>
        <v>0</v>
      </c>
      <c r="J37" s="51">
        <f>'Operating Model - IS, BS, CF'!J99</f>
        <v>0</v>
      </c>
      <c r="K37" s="51">
        <f>'Operating Model - IS, BS, CF'!K99</f>
        <v>0</v>
      </c>
    </row>
    <row r="38" spans="3:11">
      <c r="C38" t="s">
        <v>83</v>
      </c>
      <c r="G38" s="51">
        <f>'Operating Model - IS, BS, CF'!G100</f>
        <v>-5313</v>
      </c>
      <c r="H38" s="51">
        <f>'Operating Model - IS, BS, CF'!H100</f>
        <v>-5313</v>
      </c>
      <c r="I38" s="51">
        <f>'Operating Model - IS, BS, CF'!I100</f>
        <v>-5313</v>
      </c>
      <c r="J38" s="51">
        <f>'Operating Model - IS, BS, CF'!J100</f>
        <v>-5313</v>
      </c>
      <c r="K38" s="51">
        <f>'Operating Model - IS, BS, CF'!K100</f>
        <v>-5313</v>
      </c>
    </row>
    <row r="39" spans="3:11">
      <c r="C39" t="s">
        <v>84</v>
      </c>
      <c r="G39" s="51">
        <f>'Operating Model - IS, BS, CF'!G101</f>
        <v>0</v>
      </c>
      <c r="H39" s="51">
        <f>'Operating Model - IS, BS, CF'!H101</f>
        <v>0</v>
      </c>
      <c r="I39" s="51">
        <f>'Operating Model - IS, BS, CF'!I101</f>
        <v>0</v>
      </c>
      <c r="J39" s="51">
        <f>'Operating Model - IS, BS, CF'!J101</f>
        <v>0</v>
      </c>
      <c r="K39" s="51">
        <f>'Operating Model - IS, BS, CF'!K101</f>
        <v>0</v>
      </c>
    </row>
    <row r="40" spans="3:11">
      <c r="C40" t="s">
        <v>85</v>
      </c>
      <c r="G40" s="51">
        <f>'Operating Model - IS, BS, CF'!G102</f>
        <v>0</v>
      </c>
      <c r="H40" s="51">
        <f>'Operating Model - IS, BS, CF'!H102</f>
        <v>-2750</v>
      </c>
      <c r="I40" s="51">
        <f>'Operating Model - IS, BS, CF'!I102</f>
        <v>-1500</v>
      </c>
      <c r="J40" s="51">
        <f>'Operating Model - IS, BS, CF'!J102</f>
        <v>-1000</v>
      </c>
      <c r="K40" s="51">
        <f>'Operating Model - IS, BS, CF'!K102</f>
        <v>-5000</v>
      </c>
    </row>
    <row r="41" spans="3:11">
      <c r="C41" t="s">
        <v>86</v>
      </c>
      <c r="G41" s="51">
        <f>'Operating Model - IS, BS, CF'!G103</f>
        <v>0</v>
      </c>
      <c r="H41" s="51">
        <f>'Operating Model - IS, BS, CF'!H103</f>
        <v>0</v>
      </c>
      <c r="I41" s="51">
        <f>'Operating Model - IS, BS, CF'!I103</f>
        <v>0</v>
      </c>
      <c r="J41" s="51">
        <f>'Operating Model - IS, BS, CF'!J103</f>
        <v>0</v>
      </c>
      <c r="K41" s="51">
        <f>'Operating Model - IS, BS, CF'!K103</f>
        <v>0</v>
      </c>
    </row>
    <row r="42" spans="3:11">
      <c r="C42" t="s">
        <v>87</v>
      </c>
      <c r="G42" s="51">
        <f>'Operating Model - IS, BS, CF'!G104</f>
        <v>-2213</v>
      </c>
      <c r="H42" s="51">
        <f>'Operating Model - IS, BS, CF'!H104</f>
        <v>0</v>
      </c>
      <c r="I42" s="51">
        <f>'Operating Model - IS, BS, CF'!I104</f>
        <v>0</v>
      </c>
      <c r="J42" s="51">
        <f>'Operating Model - IS, BS, CF'!J104</f>
        <v>0</v>
      </c>
      <c r="K42" s="51">
        <f>'Operating Model - IS, BS, CF'!K104</f>
        <v>0</v>
      </c>
    </row>
    <row r="43" spans="3:11">
      <c r="C43" t="s">
        <v>88</v>
      </c>
      <c r="G43" s="51">
        <f>'Operating Model - IS, BS, CF'!G105</f>
        <v>0</v>
      </c>
      <c r="H43" s="51">
        <f>'Operating Model - IS, BS, CF'!H105</f>
        <v>0</v>
      </c>
      <c r="I43" s="51">
        <f>'Operating Model - IS, BS, CF'!I105</f>
        <v>0</v>
      </c>
      <c r="J43" s="51">
        <f>'Operating Model - IS, BS, CF'!J105</f>
        <v>0</v>
      </c>
      <c r="K43" s="51">
        <f>'Operating Model - IS, BS, CF'!K105</f>
        <v>0</v>
      </c>
    </row>
    <row r="44" spans="3:11">
      <c r="C44" t="s">
        <v>89</v>
      </c>
      <c r="G44" s="51">
        <f>'Operating Model - IS, BS, CF'!G106</f>
        <v>-998</v>
      </c>
      <c r="H44" s="51">
        <f>'Operating Model - IS, BS, CF'!H106</f>
        <v>-3237</v>
      </c>
      <c r="I44" s="51">
        <f>'Operating Model - IS, BS, CF'!I106</f>
        <v>-3057</v>
      </c>
      <c r="J44" s="51">
        <f>'Operating Model - IS, BS, CF'!J106</f>
        <v>-2985</v>
      </c>
      <c r="K44" s="51">
        <f>'Operating Model - IS, BS, CF'!K106</f>
        <v>-2621</v>
      </c>
    </row>
    <row r="45" spans="3:11">
      <c r="G45" s="51"/>
      <c r="H45" s="51"/>
      <c r="I45" s="51"/>
      <c r="J45" s="51"/>
      <c r="K45" s="51"/>
    </row>
    <row r="46" spans="3:11">
      <c r="C46" t="s">
        <v>95</v>
      </c>
      <c r="G46" s="51">
        <f ca="1">SUM(G33:G45)</f>
        <v>43269.073724737464</v>
      </c>
      <c r="H46" s="51">
        <f ca="1">SUM(H33:H45)</f>
        <v>53665.34447045195</v>
      </c>
      <c r="I46" s="51">
        <f ca="1">SUM(I33:I45)</f>
        <v>71933.737729918197</v>
      </c>
      <c r="J46" s="51">
        <f ca="1">SUM(J33:J45)</f>
        <v>98187.871302843036</v>
      </c>
      <c r="K46" s="51">
        <f ca="1">SUM(K33:K45)</f>
        <v>130558.43230176007</v>
      </c>
    </row>
    <row r="48" spans="3:11">
      <c r="C48" s="1" t="s">
        <v>198</v>
      </c>
      <c r="G48">
        <f>F50</f>
        <v>0</v>
      </c>
      <c r="H48">
        <f ca="1">G50</f>
        <v>0</v>
      </c>
      <c r="I48">
        <f ca="1">H50</f>
        <v>0</v>
      </c>
      <c r="J48">
        <f ca="1">I50</f>
        <v>0</v>
      </c>
      <c r="K48">
        <f ca="1">J50</f>
        <v>0</v>
      </c>
    </row>
    <row r="49" spans="3:11">
      <c r="C49" t="s">
        <v>199</v>
      </c>
      <c r="G49" s="72">
        <f ca="1">-MIN(G46,G48)</f>
        <v>0</v>
      </c>
      <c r="H49" s="72">
        <f ca="1">-MIN(H46,H48)</f>
        <v>0</v>
      </c>
      <c r="I49" s="72">
        <f ca="1">-MIN(I46,I48)</f>
        <v>0</v>
      </c>
      <c r="J49" s="72">
        <f ca="1">-MIN(J46,J48)</f>
        <v>0</v>
      </c>
      <c r="K49" s="72">
        <f ca="1">-MIN(K46,K48)</f>
        <v>0</v>
      </c>
    </row>
    <row r="50" spans="3:11">
      <c r="C50" s="1" t="s">
        <v>200</v>
      </c>
      <c r="F50">
        <v>0</v>
      </c>
      <c r="G50">
        <f ca="1">SUM(G48:G49)</f>
        <v>0</v>
      </c>
      <c r="H50">
        <f ca="1">SUM(H48:H49)</f>
        <v>0</v>
      </c>
      <c r="I50">
        <f ca="1">SUM(I48:I49)</f>
        <v>0</v>
      </c>
      <c r="J50">
        <f ca="1">SUM(J48:J49)</f>
        <v>0</v>
      </c>
      <c r="K50">
        <f ca="1">SUM(K48:K49)</f>
        <v>0</v>
      </c>
    </row>
  </sheetData>
  <mergeCells count="1">
    <mergeCell ref="D3:K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255A-5EF9-4078-BB9A-DA805D5F1A16}">
  <dimension ref="A1:H26"/>
  <sheetViews>
    <sheetView showGridLines="0" zoomScale="85" zoomScaleNormal="85" workbookViewId="0">
      <selection activeCell="C4" sqref="C4:G8"/>
    </sheetView>
  </sheetViews>
  <sheetFormatPr defaultColWidth="8.77734375" defaultRowHeight="31.05" customHeight="1"/>
  <cols>
    <col min="1" max="1" width="1.77734375" style="19" customWidth="1"/>
    <col min="2" max="2" width="0.77734375" style="19" customWidth="1"/>
    <col min="3" max="7" width="16.5546875" style="19" customWidth="1"/>
    <col min="8" max="8" width="76.21875" style="19" customWidth="1"/>
    <col min="9" max="9" width="8.77734375" style="19"/>
    <col min="10" max="10" width="9.77734375" style="19" bestFit="1" customWidth="1"/>
    <col min="11" max="256" width="8.77734375" style="19"/>
    <col min="257" max="257" width="1.77734375" style="19" customWidth="1"/>
    <col min="258" max="258" width="0.77734375" style="19" customWidth="1"/>
    <col min="259" max="263" width="16.5546875" style="19" customWidth="1"/>
    <col min="264" max="264" width="76.21875" style="19" customWidth="1"/>
    <col min="265" max="265" width="8.77734375" style="19"/>
    <col min="266" max="266" width="9.77734375" style="19" bestFit="1" customWidth="1"/>
    <col min="267" max="512" width="8.77734375" style="19"/>
    <col min="513" max="513" width="1.77734375" style="19" customWidth="1"/>
    <col min="514" max="514" width="0.77734375" style="19" customWidth="1"/>
    <col min="515" max="519" width="16.5546875" style="19" customWidth="1"/>
    <col min="520" max="520" width="76.21875" style="19" customWidth="1"/>
    <col min="521" max="521" width="8.77734375" style="19"/>
    <col min="522" max="522" width="9.77734375" style="19" bestFit="1" customWidth="1"/>
    <col min="523" max="768" width="8.77734375" style="19"/>
    <col min="769" max="769" width="1.77734375" style="19" customWidth="1"/>
    <col min="770" max="770" width="0.77734375" style="19" customWidth="1"/>
    <col min="771" max="775" width="16.5546875" style="19" customWidth="1"/>
    <col min="776" max="776" width="76.21875" style="19" customWidth="1"/>
    <col min="777" max="777" width="8.77734375" style="19"/>
    <col min="778" max="778" width="9.77734375" style="19" bestFit="1" customWidth="1"/>
    <col min="779" max="1024" width="8.77734375" style="19"/>
    <col min="1025" max="1025" width="1.77734375" style="19" customWidth="1"/>
    <col min="1026" max="1026" width="0.77734375" style="19" customWidth="1"/>
    <col min="1027" max="1031" width="16.5546875" style="19" customWidth="1"/>
    <col min="1032" max="1032" width="76.21875" style="19" customWidth="1"/>
    <col min="1033" max="1033" width="8.77734375" style="19"/>
    <col min="1034" max="1034" width="9.77734375" style="19" bestFit="1" customWidth="1"/>
    <col min="1035" max="1280" width="8.77734375" style="19"/>
    <col min="1281" max="1281" width="1.77734375" style="19" customWidth="1"/>
    <col min="1282" max="1282" width="0.77734375" style="19" customWidth="1"/>
    <col min="1283" max="1287" width="16.5546875" style="19" customWidth="1"/>
    <col min="1288" max="1288" width="76.21875" style="19" customWidth="1"/>
    <col min="1289" max="1289" width="8.77734375" style="19"/>
    <col min="1290" max="1290" width="9.77734375" style="19" bestFit="1" customWidth="1"/>
    <col min="1291" max="1536" width="8.77734375" style="19"/>
    <col min="1537" max="1537" width="1.77734375" style="19" customWidth="1"/>
    <col min="1538" max="1538" width="0.77734375" style="19" customWidth="1"/>
    <col min="1539" max="1543" width="16.5546875" style="19" customWidth="1"/>
    <col min="1544" max="1544" width="76.21875" style="19" customWidth="1"/>
    <col min="1545" max="1545" width="8.77734375" style="19"/>
    <col min="1546" max="1546" width="9.77734375" style="19" bestFit="1" customWidth="1"/>
    <col min="1547" max="1792" width="8.77734375" style="19"/>
    <col min="1793" max="1793" width="1.77734375" style="19" customWidth="1"/>
    <col min="1794" max="1794" width="0.77734375" style="19" customWidth="1"/>
    <col min="1795" max="1799" width="16.5546875" style="19" customWidth="1"/>
    <col min="1800" max="1800" width="76.21875" style="19" customWidth="1"/>
    <col min="1801" max="1801" width="8.77734375" style="19"/>
    <col min="1802" max="1802" width="9.77734375" style="19" bestFit="1" customWidth="1"/>
    <col min="1803" max="2048" width="8.77734375" style="19"/>
    <col min="2049" max="2049" width="1.77734375" style="19" customWidth="1"/>
    <col min="2050" max="2050" width="0.77734375" style="19" customWidth="1"/>
    <col min="2051" max="2055" width="16.5546875" style="19" customWidth="1"/>
    <col min="2056" max="2056" width="76.21875" style="19" customWidth="1"/>
    <col min="2057" max="2057" width="8.77734375" style="19"/>
    <col min="2058" max="2058" width="9.77734375" style="19" bestFit="1" customWidth="1"/>
    <col min="2059" max="2304" width="8.77734375" style="19"/>
    <col min="2305" max="2305" width="1.77734375" style="19" customWidth="1"/>
    <col min="2306" max="2306" width="0.77734375" style="19" customWidth="1"/>
    <col min="2307" max="2311" width="16.5546875" style="19" customWidth="1"/>
    <col min="2312" max="2312" width="76.21875" style="19" customWidth="1"/>
    <col min="2313" max="2313" width="8.77734375" style="19"/>
    <col min="2314" max="2314" width="9.77734375" style="19" bestFit="1" customWidth="1"/>
    <col min="2315" max="2560" width="8.77734375" style="19"/>
    <col min="2561" max="2561" width="1.77734375" style="19" customWidth="1"/>
    <col min="2562" max="2562" width="0.77734375" style="19" customWidth="1"/>
    <col min="2563" max="2567" width="16.5546875" style="19" customWidth="1"/>
    <col min="2568" max="2568" width="76.21875" style="19" customWidth="1"/>
    <col min="2569" max="2569" width="8.77734375" style="19"/>
    <col min="2570" max="2570" width="9.77734375" style="19" bestFit="1" customWidth="1"/>
    <col min="2571" max="2816" width="8.77734375" style="19"/>
    <col min="2817" max="2817" width="1.77734375" style="19" customWidth="1"/>
    <col min="2818" max="2818" width="0.77734375" style="19" customWidth="1"/>
    <col min="2819" max="2823" width="16.5546875" style="19" customWidth="1"/>
    <col min="2824" max="2824" width="76.21875" style="19" customWidth="1"/>
    <col min="2825" max="2825" width="8.77734375" style="19"/>
    <col min="2826" max="2826" width="9.77734375" style="19" bestFit="1" customWidth="1"/>
    <col min="2827" max="3072" width="8.77734375" style="19"/>
    <col min="3073" max="3073" width="1.77734375" style="19" customWidth="1"/>
    <col min="3074" max="3074" width="0.77734375" style="19" customWidth="1"/>
    <col min="3075" max="3079" width="16.5546875" style="19" customWidth="1"/>
    <col min="3080" max="3080" width="76.21875" style="19" customWidth="1"/>
    <col min="3081" max="3081" width="8.77734375" style="19"/>
    <col min="3082" max="3082" width="9.77734375" style="19" bestFit="1" customWidth="1"/>
    <col min="3083" max="3328" width="8.77734375" style="19"/>
    <col min="3329" max="3329" width="1.77734375" style="19" customWidth="1"/>
    <col min="3330" max="3330" width="0.77734375" style="19" customWidth="1"/>
    <col min="3331" max="3335" width="16.5546875" style="19" customWidth="1"/>
    <col min="3336" max="3336" width="76.21875" style="19" customWidth="1"/>
    <col min="3337" max="3337" width="8.77734375" style="19"/>
    <col min="3338" max="3338" width="9.77734375" style="19" bestFit="1" customWidth="1"/>
    <col min="3339" max="3584" width="8.77734375" style="19"/>
    <col min="3585" max="3585" width="1.77734375" style="19" customWidth="1"/>
    <col min="3586" max="3586" width="0.77734375" style="19" customWidth="1"/>
    <col min="3587" max="3591" width="16.5546875" style="19" customWidth="1"/>
    <col min="3592" max="3592" width="76.21875" style="19" customWidth="1"/>
    <col min="3593" max="3593" width="8.77734375" style="19"/>
    <col min="3594" max="3594" width="9.77734375" style="19" bestFit="1" customWidth="1"/>
    <col min="3595" max="3840" width="8.77734375" style="19"/>
    <col min="3841" max="3841" width="1.77734375" style="19" customWidth="1"/>
    <col min="3842" max="3842" width="0.77734375" style="19" customWidth="1"/>
    <col min="3843" max="3847" width="16.5546875" style="19" customWidth="1"/>
    <col min="3848" max="3848" width="76.21875" style="19" customWidth="1"/>
    <col min="3849" max="3849" width="8.77734375" style="19"/>
    <col min="3850" max="3850" width="9.77734375" style="19" bestFit="1" customWidth="1"/>
    <col min="3851" max="4096" width="8.77734375" style="19"/>
    <col min="4097" max="4097" width="1.77734375" style="19" customWidth="1"/>
    <col min="4098" max="4098" width="0.77734375" style="19" customWidth="1"/>
    <col min="4099" max="4103" width="16.5546875" style="19" customWidth="1"/>
    <col min="4104" max="4104" width="76.21875" style="19" customWidth="1"/>
    <col min="4105" max="4105" width="8.77734375" style="19"/>
    <col min="4106" max="4106" width="9.77734375" style="19" bestFit="1" customWidth="1"/>
    <col min="4107" max="4352" width="8.77734375" style="19"/>
    <col min="4353" max="4353" width="1.77734375" style="19" customWidth="1"/>
    <col min="4354" max="4354" width="0.77734375" style="19" customWidth="1"/>
    <col min="4355" max="4359" width="16.5546875" style="19" customWidth="1"/>
    <col min="4360" max="4360" width="76.21875" style="19" customWidth="1"/>
    <col min="4361" max="4361" width="8.77734375" style="19"/>
    <col min="4362" max="4362" width="9.77734375" style="19" bestFit="1" customWidth="1"/>
    <col min="4363" max="4608" width="8.77734375" style="19"/>
    <col min="4609" max="4609" width="1.77734375" style="19" customWidth="1"/>
    <col min="4610" max="4610" width="0.77734375" style="19" customWidth="1"/>
    <col min="4611" max="4615" width="16.5546875" style="19" customWidth="1"/>
    <col min="4616" max="4616" width="76.21875" style="19" customWidth="1"/>
    <col min="4617" max="4617" width="8.77734375" style="19"/>
    <col min="4618" max="4618" width="9.77734375" style="19" bestFit="1" customWidth="1"/>
    <col min="4619" max="4864" width="8.77734375" style="19"/>
    <col min="4865" max="4865" width="1.77734375" style="19" customWidth="1"/>
    <col min="4866" max="4866" width="0.77734375" style="19" customWidth="1"/>
    <col min="4867" max="4871" width="16.5546875" style="19" customWidth="1"/>
    <col min="4872" max="4872" width="76.21875" style="19" customWidth="1"/>
    <col min="4873" max="4873" width="8.77734375" style="19"/>
    <col min="4874" max="4874" width="9.77734375" style="19" bestFit="1" customWidth="1"/>
    <col min="4875" max="5120" width="8.77734375" style="19"/>
    <col min="5121" max="5121" width="1.77734375" style="19" customWidth="1"/>
    <col min="5122" max="5122" width="0.77734375" style="19" customWidth="1"/>
    <col min="5123" max="5127" width="16.5546875" style="19" customWidth="1"/>
    <col min="5128" max="5128" width="76.21875" style="19" customWidth="1"/>
    <col min="5129" max="5129" width="8.77734375" style="19"/>
    <col min="5130" max="5130" width="9.77734375" style="19" bestFit="1" customWidth="1"/>
    <col min="5131" max="5376" width="8.77734375" style="19"/>
    <col min="5377" max="5377" width="1.77734375" style="19" customWidth="1"/>
    <col min="5378" max="5378" width="0.77734375" style="19" customWidth="1"/>
    <col min="5379" max="5383" width="16.5546875" style="19" customWidth="1"/>
    <col min="5384" max="5384" width="76.21875" style="19" customWidth="1"/>
    <col min="5385" max="5385" width="8.77734375" style="19"/>
    <col min="5386" max="5386" width="9.77734375" style="19" bestFit="1" customWidth="1"/>
    <col min="5387" max="5632" width="8.77734375" style="19"/>
    <col min="5633" max="5633" width="1.77734375" style="19" customWidth="1"/>
    <col min="5634" max="5634" width="0.77734375" style="19" customWidth="1"/>
    <col min="5635" max="5639" width="16.5546875" style="19" customWidth="1"/>
    <col min="5640" max="5640" width="76.21875" style="19" customWidth="1"/>
    <col min="5641" max="5641" width="8.77734375" style="19"/>
    <col min="5642" max="5642" width="9.77734375" style="19" bestFit="1" customWidth="1"/>
    <col min="5643" max="5888" width="8.77734375" style="19"/>
    <col min="5889" max="5889" width="1.77734375" style="19" customWidth="1"/>
    <col min="5890" max="5890" width="0.77734375" style="19" customWidth="1"/>
    <col min="5891" max="5895" width="16.5546875" style="19" customWidth="1"/>
    <col min="5896" max="5896" width="76.21875" style="19" customWidth="1"/>
    <col min="5897" max="5897" width="8.77734375" style="19"/>
    <col min="5898" max="5898" width="9.77734375" style="19" bestFit="1" customWidth="1"/>
    <col min="5899" max="6144" width="8.77734375" style="19"/>
    <col min="6145" max="6145" width="1.77734375" style="19" customWidth="1"/>
    <col min="6146" max="6146" width="0.77734375" style="19" customWidth="1"/>
    <col min="6147" max="6151" width="16.5546875" style="19" customWidth="1"/>
    <col min="6152" max="6152" width="76.21875" style="19" customWidth="1"/>
    <col min="6153" max="6153" width="8.77734375" style="19"/>
    <col min="6154" max="6154" width="9.77734375" style="19" bestFit="1" customWidth="1"/>
    <col min="6155" max="6400" width="8.77734375" style="19"/>
    <col min="6401" max="6401" width="1.77734375" style="19" customWidth="1"/>
    <col min="6402" max="6402" width="0.77734375" style="19" customWidth="1"/>
    <col min="6403" max="6407" width="16.5546875" style="19" customWidth="1"/>
    <col min="6408" max="6408" width="76.21875" style="19" customWidth="1"/>
    <col min="6409" max="6409" width="8.77734375" style="19"/>
    <col min="6410" max="6410" width="9.77734375" style="19" bestFit="1" customWidth="1"/>
    <col min="6411" max="6656" width="8.77734375" style="19"/>
    <col min="6657" max="6657" width="1.77734375" style="19" customWidth="1"/>
    <col min="6658" max="6658" width="0.77734375" style="19" customWidth="1"/>
    <col min="6659" max="6663" width="16.5546875" style="19" customWidth="1"/>
    <col min="6664" max="6664" width="76.21875" style="19" customWidth="1"/>
    <col min="6665" max="6665" width="8.77734375" style="19"/>
    <col min="6666" max="6666" width="9.77734375" style="19" bestFit="1" customWidth="1"/>
    <col min="6667" max="6912" width="8.77734375" style="19"/>
    <col min="6913" max="6913" width="1.77734375" style="19" customWidth="1"/>
    <col min="6914" max="6914" width="0.77734375" style="19" customWidth="1"/>
    <col min="6915" max="6919" width="16.5546875" style="19" customWidth="1"/>
    <col min="6920" max="6920" width="76.21875" style="19" customWidth="1"/>
    <col min="6921" max="6921" width="8.77734375" style="19"/>
    <col min="6922" max="6922" width="9.77734375" style="19" bestFit="1" customWidth="1"/>
    <col min="6923" max="7168" width="8.77734375" style="19"/>
    <col min="7169" max="7169" width="1.77734375" style="19" customWidth="1"/>
    <col min="7170" max="7170" width="0.77734375" style="19" customWidth="1"/>
    <col min="7171" max="7175" width="16.5546875" style="19" customWidth="1"/>
    <col min="7176" max="7176" width="76.21875" style="19" customWidth="1"/>
    <col min="7177" max="7177" width="8.77734375" style="19"/>
    <col min="7178" max="7178" width="9.77734375" style="19" bestFit="1" customWidth="1"/>
    <col min="7179" max="7424" width="8.77734375" style="19"/>
    <col min="7425" max="7425" width="1.77734375" style="19" customWidth="1"/>
    <col min="7426" max="7426" width="0.77734375" style="19" customWidth="1"/>
    <col min="7427" max="7431" width="16.5546875" style="19" customWidth="1"/>
    <col min="7432" max="7432" width="76.21875" style="19" customWidth="1"/>
    <col min="7433" max="7433" width="8.77734375" style="19"/>
    <col min="7434" max="7434" width="9.77734375" style="19" bestFit="1" customWidth="1"/>
    <col min="7435" max="7680" width="8.77734375" style="19"/>
    <col min="7681" max="7681" width="1.77734375" style="19" customWidth="1"/>
    <col min="7682" max="7682" width="0.77734375" style="19" customWidth="1"/>
    <col min="7683" max="7687" width="16.5546875" style="19" customWidth="1"/>
    <col min="7688" max="7688" width="76.21875" style="19" customWidth="1"/>
    <col min="7689" max="7689" width="8.77734375" style="19"/>
    <col min="7690" max="7690" width="9.77734375" style="19" bestFit="1" customWidth="1"/>
    <col min="7691" max="7936" width="8.77734375" style="19"/>
    <col min="7937" max="7937" width="1.77734375" style="19" customWidth="1"/>
    <col min="7938" max="7938" width="0.77734375" style="19" customWidth="1"/>
    <col min="7939" max="7943" width="16.5546875" style="19" customWidth="1"/>
    <col min="7944" max="7944" width="76.21875" style="19" customWidth="1"/>
    <col min="7945" max="7945" width="8.77734375" style="19"/>
    <col min="7946" max="7946" width="9.77734375" style="19" bestFit="1" customWidth="1"/>
    <col min="7947" max="8192" width="8.77734375" style="19"/>
    <col min="8193" max="8193" width="1.77734375" style="19" customWidth="1"/>
    <col min="8194" max="8194" width="0.77734375" style="19" customWidth="1"/>
    <col min="8195" max="8199" width="16.5546875" style="19" customWidth="1"/>
    <col min="8200" max="8200" width="76.21875" style="19" customWidth="1"/>
    <col min="8201" max="8201" width="8.77734375" style="19"/>
    <col min="8202" max="8202" width="9.77734375" style="19" bestFit="1" customWidth="1"/>
    <col min="8203" max="8448" width="8.77734375" style="19"/>
    <col min="8449" max="8449" width="1.77734375" style="19" customWidth="1"/>
    <col min="8450" max="8450" width="0.77734375" style="19" customWidth="1"/>
    <col min="8451" max="8455" width="16.5546875" style="19" customWidth="1"/>
    <col min="8456" max="8456" width="76.21875" style="19" customWidth="1"/>
    <col min="8457" max="8457" width="8.77734375" style="19"/>
    <col min="8458" max="8458" width="9.77734375" style="19" bestFit="1" customWidth="1"/>
    <col min="8459" max="8704" width="8.77734375" style="19"/>
    <col min="8705" max="8705" width="1.77734375" style="19" customWidth="1"/>
    <col min="8706" max="8706" width="0.77734375" style="19" customWidth="1"/>
    <col min="8707" max="8711" width="16.5546875" style="19" customWidth="1"/>
    <col min="8712" max="8712" width="76.21875" style="19" customWidth="1"/>
    <col min="8713" max="8713" width="8.77734375" style="19"/>
    <col min="8714" max="8714" width="9.77734375" style="19" bestFit="1" customWidth="1"/>
    <col min="8715" max="8960" width="8.77734375" style="19"/>
    <col min="8961" max="8961" width="1.77734375" style="19" customWidth="1"/>
    <col min="8962" max="8962" width="0.77734375" style="19" customWidth="1"/>
    <col min="8963" max="8967" width="16.5546875" style="19" customWidth="1"/>
    <col min="8968" max="8968" width="76.21875" style="19" customWidth="1"/>
    <col min="8969" max="8969" width="8.77734375" style="19"/>
    <col min="8970" max="8970" width="9.77734375" style="19" bestFit="1" customWidth="1"/>
    <col min="8971" max="9216" width="8.77734375" style="19"/>
    <col min="9217" max="9217" width="1.77734375" style="19" customWidth="1"/>
    <col min="9218" max="9218" width="0.77734375" style="19" customWidth="1"/>
    <col min="9219" max="9223" width="16.5546875" style="19" customWidth="1"/>
    <col min="9224" max="9224" width="76.21875" style="19" customWidth="1"/>
    <col min="9225" max="9225" width="8.77734375" style="19"/>
    <col min="9226" max="9226" width="9.77734375" style="19" bestFit="1" customWidth="1"/>
    <col min="9227" max="9472" width="8.77734375" style="19"/>
    <col min="9473" max="9473" width="1.77734375" style="19" customWidth="1"/>
    <col min="9474" max="9474" width="0.77734375" style="19" customWidth="1"/>
    <col min="9475" max="9479" width="16.5546875" style="19" customWidth="1"/>
    <col min="9480" max="9480" width="76.21875" style="19" customWidth="1"/>
    <col min="9481" max="9481" width="8.77734375" style="19"/>
    <col min="9482" max="9482" width="9.77734375" style="19" bestFit="1" customWidth="1"/>
    <col min="9483" max="9728" width="8.77734375" style="19"/>
    <col min="9729" max="9729" width="1.77734375" style="19" customWidth="1"/>
    <col min="9730" max="9730" width="0.77734375" style="19" customWidth="1"/>
    <col min="9731" max="9735" width="16.5546875" style="19" customWidth="1"/>
    <col min="9736" max="9736" width="76.21875" style="19" customWidth="1"/>
    <col min="9737" max="9737" width="8.77734375" style="19"/>
    <col min="9738" max="9738" width="9.77734375" style="19" bestFit="1" customWidth="1"/>
    <col min="9739" max="9984" width="8.77734375" style="19"/>
    <col min="9985" max="9985" width="1.77734375" style="19" customWidth="1"/>
    <col min="9986" max="9986" width="0.77734375" style="19" customWidth="1"/>
    <col min="9987" max="9991" width="16.5546875" style="19" customWidth="1"/>
    <col min="9992" max="9992" width="76.21875" style="19" customWidth="1"/>
    <col min="9993" max="9993" width="8.77734375" style="19"/>
    <col min="9994" max="9994" width="9.77734375" style="19" bestFit="1" customWidth="1"/>
    <col min="9995" max="10240" width="8.77734375" style="19"/>
    <col min="10241" max="10241" width="1.77734375" style="19" customWidth="1"/>
    <col min="10242" max="10242" width="0.77734375" style="19" customWidth="1"/>
    <col min="10243" max="10247" width="16.5546875" style="19" customWidth="1"/>
    <col min="10248" max="10248" width="76.21875" style="19" customWidth="1"/>
    <col min="10249" max="10249" width="8.77734375" style="19"/>
    <col min="10250" max="10250" width="9.77734375" style="19" bestFit="1" customWidth="1"/>
    <col min="10251" max="10496" width="8.77734375" style="19"/>
    <col min="10497" max="10497" width="1.77734375" style="19" customWidth="1"/>
    <col min="10498" max="10498" width="0.77734375" style="19" customWidth="1"/>
    <col min="10499" max="10503" width="16.5546875" style="19" customWidth="1"/>
    <col min="10504" max="10504" width="76.21875" style="19" customWidth="1"/>
    <col min="10505" max="10505" width="8.77734375" style="19"/>
    <col min="10506" max="10506" width="9.77734375" style="19" bestFit="1" customWidth="1"/>
    <col min="10507" max="10752" width="8.77734375" style="19"/>
    <col min="10753" max="10753" width="1.77734375" style="19" customWidth="1"/>
    <col min="10754" max="10754" width="0.77734375" style="19" customWidth="1"/>
    <col min="10755" max="10759" width="16.5546875" style="19" customWidth="1"/>
    <col min="10760" max="10760" width="76.21875" style="19" customWidth="1"/>
    <col min="10761" max="10761" width="8.77734375" style="19"/>
    <col min="10762" max="10762" width="9.77734375" style="19" bestFit="1" customWidth="1"/>
    <col min="10763" max="11008" width="8.77734375" style="19"/>
    <col min="11009" max="11009" width="1.77734375" style="19" customWidth="1"/>
    <col min="11010" max="11010" width="0.77734375" style="19" customWidth="1"/>
    <col min="11011" max="11015" width="16.5546875" style="19" customWidth="1"/>
    <col min="11016" max="11016" width="76.21875" style="19" customWidth="1"/>
    <col min="11017" max="11017" width="8.77734375" style="19"/>
    <col min="11018" max="11018" width="9.77734375" style="19" bestFit="1" customWidth="1"/>
    <col min="11019" max="11264" width="8.77734375" style="19"/>
    <col min="11265" max="11265" width="1.77734375" style="19" customWidth="1"/>
    <col min="11266" max="11266" width="0.77734375" style="19" customWidth="1"/>
    <col min="11267" max="11271" width="16.5546875" style="19" customWidth="1"/>
    <col min="11272" max="11272" width="76.21875" style="19" customWidth="1"/>
    <col min="11273" max="11273" width="8.77734375" style="19"/>
    <col min="11274" max="11274" width="9.77734375" style="19" bestFit="1" customWidth="1"/>
    <col min="11275" max="11520" width="8.77734375" style="19"/>
    <col min="11521" max="11521" width="1.77734375" style="19" customWidth="1"/>
    <col min="11522" max="11522" width="0.77734375" style="19" customWidth="1"/>
    <col min="11523" max="11527" width="16.5546875" style="19" customWidth="1"/>
    <col min="11528" max="11528" width="76.21875" style="19" customWidth="1"/>
    <col min="11529" max="11529" width="8.77734375" style="19"/>
    <col min="11530" max="11530" width="9.77734375" style="19" bestFit="1" customWidth="1"/>
    <col min="11531" max="11776" width="8.77734375" style="19"/>
    <col min="11777" max="11777" width="1.77734375" style="19" customWidth="1"/>
    <col min="11778" max="11778" width="0.77734375" style="19" customWidth="1"/>
    <col min="11779" max="11783" width="16.5546875" style="19" customWidth="1"/>
    <col min="11784" max="11784" width="76.21875" style="19" customWidth="1"/>
    <col min="11785" max="11785" width="8.77734375" style="19"/>
    <col min="11786" max="11786" width="9.77734375" style="19" bestFit="1" customWidth="1"/>
    <col min="11787" max="12032" width="8.77734375" style="19"/>
    <col min="12033" max="12033" width="1.77734375" style="19" customWidth="1"/>
    <col min="12034" max="12034" width="0.77734375" style="19" customWidth="1"/>
    <col min="12035" max="12039" width="16.5546875" style="19" customWidth="1"/>
    <col min="12040" max="12040" width="76.21875" style="19" customWidth="1"/>
    <col min="12041" max="12041" width="8.77734375" style="19"/>
    <col min="12042" max="12042" width="9.77734375" style="19" bestFit="1" customWidth="1"/>
    <col min="12043" max="12288" width="8.77734375" style="19"/>
    <col min="12289" max="12289" width="1.77734375" style="19" customWidth="1"/>
    <col min="12290" max="12290" width="0.77734375" style="19" customWidth="1"/>
    <col min="12291" max="12295" width="16.5546875" style="19" customWidth="1"/>
    <col min="12296" max="12296" width="76.21875" style="19" customWidth="1"/>
    <col min="12297" max="12297" width="8.77734375" style="19"/>
    <col min="12298" max="12298" width="9.77734375" style="19" bestFit="1" customWidth="1"/>
    <col min="12299" max="12544" width="8.77734375" style="19"/>
    <col min="12545" max="12545" width="1.77734375" style="19" customWidth="1"/>
    <col min="12546" max="12546" width="0.77734375" style="19" customWidth="1"/>
    <col min="12547" max="12551" width="16.5546875" style="19" customWidth="1"/>
    <col min="12552" max="12552" width="76.21875" style="19" customWidth="1"/>
    <col min="12553" max="12553" width="8.77734375" style="19"/>
    <col min="12554" max="12554" width="9.77734375" style="19" bestFit="1" customWidth="1"/>
    <col min="12555" max="12800" width="8.77734375" style="19"/>
    <col min="12801" max="12801" width="1.77734375" style="19" customWidth="1"/>
    <col min="12802" max="12802" width="0.77734375" style="19" customWidth="1"/>
    <col min="12803" max="12807" width="16.5546875" style="19" customWidth="1"/>
    <col min="12808" max="12808" width="76.21875" style="19" customWidth="1"/>
    <col min="12809" max="12809" width="8.77734375" style="19"/>
    <col min="12810" max="12810" width="9.77734375" style="19" bestFit="1" customWidth="1"/>
    <col min="12811" max="13056" width="8.77734375" style="19"/>
    <col min="13057" max="13057" width="1.77734375" style="19" customWidth="1"/>
    <col min="13058" max="13058" width="0.77734375" style="19" customWidth="1"/>
    <col min="13059" max="13063" width="16.5546875" style="19" customWidth="1"/>
    <col min="13064" max="13064" width="76.21875" style="19" customWidth="1"/>
    <col min="13065" max="13065" width="8.77734375" style="19"/>
    <col min="13066" max="13066" width="9.77734375" style="19" bestFit="1" customWidth="1"/>
    <col min="13067" max="13312" width="8.77734375" style="19"/>
    <col min="13313" max="13313" width="1.77734375" style="19" customWidth="1"/>
    <col min="13314" max="13314" width="0.77734375" style="19" customWidth="1"/>
    <col min="13315" max="13319" width="16.5546875" style="19" customWidth="1"/>
    <col min="13320" max="13320" width="76.21875" style="19" customWidth="1"/>
    <col min="13321" max="13321" width="8.77734375" style="19"/>
    <col min="13322" max="13322" width="9.77734375" style="19" bestFit="1" customWidth="1"/>
    <col min="13323" max="13568" width="8.77734375" style="19"/>
    <col min="13569" max="13569" width="1.77734375" style="19" customWidth="1"/>
    <col min="13570" max="13570" width="0.77734375" style="19" customWidth="1"/>
    <col min="13571" max="13575" width="16.5546875" style="19" customWidth="1"/>
    <col min="13576" max="13576" width="76.21875" style="19" customWidth="1"/>
    <col min="13577" max="13577" width="8.77734375" style="19"/>
    <col min="13578" max="13578" width="9.77734375" style="19" bestFit="1" customWidth="1"/>
    <col min="13579" max="13824" width="8.77734375" style="19"/>
    <col min="13825" max="13825" width="1.77734375" style="19" customWidth="1"/>
    <col min="13826" max="13826" width="0.77734375" style="19" customWidth="1"/>
    <col min="13827" max="13831" width="16.5546875" style="19" customWidth="1"/>
    <col min="13832" max="13832" width="76.21875" style="19" customWidth="1"/>
    <col min="13833" max="13833" width="8.77734375" style="19"/>
    <col min="13834" max="13834" width="9.77734375" style="19" bestFit="1" customWidth="1"/>
    <col min="13835" max="14080" width="8.77734375" style="19"/>
    <col min="14081" max="14081" width="1.77734375" style="19" customWidth="1"/>
    <col min="14082" max="14082" width="0.77734375" style="19" customWidth="1"/>
    <col min="14083" max="14087" width="16.5546875" style="19" customWidth="1"/>
    <col min="14088" max="14088" width="76.21875" style="19" customWidth="1"/>
    <col min="14089" max="14089" width="8.77734375" style="19"/>
    <col min="14090" max="14090" width="9.77734375" style="19" bestFit="1" customWidth="1"/>
    <col min="14091" max="14336" width="8.77734375" style="19"/>
    <col min="14337" max="14337" width="1.77734375" style="19" customWidth="1"/>
    <col min="14338" max="14338" width="0.77734375" style="19" customWidth="1"/>
    <col min="14339" max="14343" width="16.5546875" style="19" customWidth="1"/>
    <col min="14344" max="14344" width="76.21875" style="19" customWidth="1"/>
    <col min="14345" max="14345" width="8.77734375" style="19"/>
    <col min="14346" max="14346" width="9.77734375" style="19" bestFit="1" customWidth="1"/>
    <col min="14347" max="14592" width="8.77734375" style="19"/>
    <col min="14593" max="14593" width="1.77734375" style="19" customWidth="1"/>
    <col min="14594" max="14594" width="0.77734375" style="19" customWidth="1"/>
    <col min="14595" max="14599" width="16.5546875" style="19" customWidth="1"/>
    <col min="14600" max="14600" width="76.21875" style="19" customWidth="1"/>
    <col min="14601" max="14601" width="8.77734375" style="19"/>
    <col min="14602" max="14602" width="9.77734375" style="19" bestFit="1" customWidth="1"/>
    <col min="14603" max="14848" width="8.77734375" style="19"/>
    <col min="14849" max="14849" width="1.77734375" style="19" customWidth="1"/>
    <col min="14850" max="14850" width="0.77734375" style="19" customWidth="1"/>
    <col min="14851" max="14855" width="16.5546875" style="19" customWidth="1"/>
    <col min="14856" max="14856" width="76.21875" style="19" customWidth="1"/>
    <col min="14857" max="14857" width="8.77734375" style="19"/>
    <col min="14858" max="14858" width="9.77734375" style="19" bestFit="1" customWidth="1"/>
    <col min="14859" max="15104" width="8.77734375" style="19"/>
    <col min="15105" max="15105" width="1.77734375" style="19" customWidth="1"/>
    <col min="15106" max="15106" width="0.77734375" style="19" customWidth="1"/>
    <col min="15107" max="15111" width="16.5546875" style="19" customWidth="1"/>
    <col min="15112" max="15112" width="76.21875" style="19" customWidth="1"/>
    <col min="15113" max="15113" width="8.77734375" style="19"/>
    <col min="15114" max="15114" width="9.77734375" style="19" bestFit="1" customWidth="1"/>
    <col min="15115" max="15360" width="8.77734375" style="19"/>
    <col min="15361" max="15361" width="1.77734375" style="19" customWidth="1"/>
    <col min="15362" max="15362" width="0.77734375" style="19" customWidth="1"/>
    <col min="15363" max="15367" width="16.5546875" style="19" customWidth="1"/>
    <col min="15368" max="15368" width="76.21875" style="19" customWidth="1"/>
    <col min="15369" max="15369" width="8.77734375" style="19"/>
    <col min="15370" max="15370" width="9.77734375" style="19" bestFit="1" customWidth="1"/>
    <col min="15371" max="15616" width="8.77734375" style="19"/>
    <col min="15617" max="15617" width="1.77734375" style="19" customWidth="1"/>
    <col min="15618" max="15618" width="0.77734375" style="19" customWidth="1"/>
    <col min="15619" max="15623" width="16.5546875" style="19" customWidth="1"/>
    <col min="15624" max="15624" width="76.21875" style="19" customWidth="1"/>
    <col min="15625" max="15625" width="8.77734375" style="19"/>
    <col min="15626" max="15626" width="9.77734375" style="19" bestFit="1" customWidth="1"/>
    <col min="15627" max="15872" width="8.77734375" style="19"/>
    <col min="15873" max="15873" width="1.77734375" style="19" customWidth="1"/>
    <col min="15874" max="15874" width="0.77734375" style="19" customWidth="1"/>
    <col min="15875" max="15879" width="16.5546875" style="19" customWidth="1"/>
    <col min="15880" max="15880" width="76.21875" style="19" customWidth="1"/>
    <col min="15881" max="15881" width="8.77734375" style="19"/>
    <col min="15882" max="15882" width="9.77734375" style="19" bestFit="1" customWidth="1"/>
    <col min="15883" max="16128" width="8.77734375" style="19"/>
    <col min="16129" max="16129" width="1.77734375" style="19" customWidth="1"/>
    <col min="16130" max="16130" width="0.77734375" style="19" customWidth="1"/>
    <col min="16131" max="16135" width="16.5546875" style="19" customWidth="1"/>
    <col min="16136" max="16136" width="76.21875" style="19" customWidth="1"/>
    <col min="16137" max="16137" width="8.77734375" style="19"/>
    <col min="16138" max="16138" width="9.77734375" style="19" bestFit="1" customWidth="1"/>
    <col min="16139" max="16384" width="8.77734375" style="19"/>
  </cols>
  <sheetData>
    <row r="1" spans="1:8" ht="31.05" customHeight="1">
      <c r="G1" s="28"/>
      <c r="H1" s="21"/>
    </row>
    <row r="2" spans="1:8" ht="21" customHeight="1">
      <c r="A2" s="24"/>
      <c r="B2" s="25"/>
      <c r="C2" s="19" t="s">
        <v>97</v>
      </c>
      <c r="D2" s="29"/>
      <c r="G2" s="28"/>
      <c r="H2" s="22"/>
    </row>
    <row r="3" spans="1:8" ht="10.050000000000001" customHeight="1">
      <c r="H3" s="22"/>
    </row>
    <row r="4" spans="1:8" s="30" customFormat="1" ht="16.05" customHeight="1">
      <c r="C4" s="155" t="s">
        <v>98</v>
      </c>
      <c r="D4" s="155"/>
      <c r="E4" s="155"/>
      <c r="F4" s="155"/>
      <c r="G4" s="155"/>
    </row>
    <row r="5" spans="1:8" s="30" customFormat="1" ht="16.05" customHeight="1">
      <c r="C5" s="155"/>
      <c r="D5" s="155"/>
      <c r="E5" s="155"/>
      <c r="F5" s="155"/>
      <c r="G5" s="155"/>
    </row>
    <row r="6" spans="1:8" s="30" customFormat="1" ht="16.05" customHeight="1">
      <c r="C6" s="155"/>
      <c r="D6" s="155"/>
      <c r="E6" s="155"/>
      <c r="F6" s="155"/>
      <c r="G6" s="155"/>
    </row>
    <row r="7" spans="1:8" s="30" customFormat="1" ht="16.05" customHeight="1">
      <c r="C7" s="155"/>
      <c r="D7" s="155"/>
      <c r="E7" s="155"/>
      <c r="F7" s="155"/>
      <c r="G7" s="155"/>
      <c r="H7" s="31"/>
    </row>
    <row r="8" spans="1:8" s="30" customFormat="1" ht="16.05" customHeight="1">
      <c r="C8" s="155"/>
      <c r="D8" s="155"/>
      <c r="E8" s="155"/>
      <c r="F8" s="155"/>
      <c r="G8" s="155"/>
    </row>
    <row r="9" spans="1:8" s="30" customFormat="1" ht="16.05" customHeight="1">
      <c r="C9" s="32"/>
      <c r="D9" s="32"/>
      <c r="E9" s="32"/>
      <c r="F9" s="32"/>
      <c r="G9" s="32"/>
    </row>
    <row r="10" spans="1:8" s="30" customFormat="1" ht="16.05" customHeight="1">
      <c r="C10" s="32"/>
      <c r="D10" s="32"/>
      <c r="E10" s="32"/>
      <c r="F10" s="32"/>
      <c r="G10" s="32"/>
    </row>
    <row r="11" spans="1:8" s="30" customFormat="1" ht="16.05" customHeight="1">
      <c r="C11" s="32"/>
      <c r="D11" s="32"/>
      <c r="E11" s="32"/>
      <c r="F11" s="32"/>
      <c r="G11" s="32"/>
    </row>
    <row r="12" spans="1:8" s="30" customFormat="1" ht="16.05" customHeight="1">
      <c r="C12" s="32"/>
      <c r="D12" s="32"/>
      <c r="E12" s="32"/>
      <c r="F12" s="32"/>
      <c r="G12" s="32"/>
    </row>
    <row r="13" spans="1:8" s="30" customFormat="1" ht="16.05" customHeight="1">
      <c r="C13" s="32"/>
      <c r="D13" s="32"/>
      <c r="E13" s="32"/>
      <c r="F13" s="32"/>
      <c r="G13" s="32"/>
    </row>
    <row r="14" spans="1:8" s="30" customFormat="1" ht="16.05" customHeight="1">
      <c r="C14" s="32"/>
      <c r="D14" s="32"/>
      <c r="E14" s="32"/>
      <c r="F14" s="32"/>
      <c r="G14" s="32"/>
    </row>
    <row r="15" spans="1:8" s="30" customFormat="1" ht="16.05" customHeight="1">
      <c r="C15" s="32"/>
      <c r="D15" s="32"/>
      <c r="E15" s="32"/>
      <c r="F15" s="32"/>
      <c r="G15" s="32"/>
    </row>
    <row r="16" spans="1:8" s="30" customFormat="1" ht="16.05" customHeight="1">
      <c r="C16" s="32"/>
      <c r="D16" s="32"/>
      <c r="E16" s="32"/>
      <c r="F16" s="32"/>
      <c r="G16" s="32"/>
    </row>
    <row r="17" spans="3:8" ht="21" customHeight="1">
      <c r="G17" s="28"/>
      <c r="H17" s="22"/>
    </row>
    <row r="18" spans="3:8" s="30" customFormat="1" ht="16.05" customHeight="1">
      <c r="C18" s="32"/>
      <c r="D18" s="32"/>
      <c r="E18" s="32"/>
      <c r="F18" s="32"/>
      <c r="G18" s="32"/>
    </row>
    <row r="19" spans="3:8" s="30" customFormat="1" ht="16.05" customHeight="1">
      <c r="C19" s="32"/>
      <c r="D19" s="32"/>
      <c r="E19" s="32"/>
      <c r="F19" s="32"/>
      <c r="G19" s="32"/>
    </row>
    <row r="20" spans="3:8" s="30" customFormat="1" ht="16.05" customHeight="1">
      <c r="C20" s="32"/>
      <c r="D20" s="32"/>
      <c r="E20" s="32"/>
      <c r="F20" s="32"/>
      <c r="G20" s="32"/>
    </row>
    <row r="21" spans="3:8" s="30" customFormat="1" ht="16.05" customHeight="1">
      <c r="C21" s="32"/>
      <c r="D21" s="32"/>
      <c r="E21" s="32"/>
      <c r="F21" s="32"/>
      <c r="G21" s="32"/>
    </row>
    <row r="22" spans="3:8" s="30" customFormat="1" ht="16.05" customHeight="1">
      <c r="C22" s="32"/>
      <c r="D22" s="32"/>
      <c r="E22" s="32"/>
      <c r="F22" s="32"/>
      <c r="G22" s="32"/>
    </row>
    <row r="23" spans="3:8" s="30" customFormat="1" ht="16.05" customHeight="1">
      <c r="C23" s="32"/>
      <c r="D23" s="32"/>
      <c r="E23" s="32"/>
      <c r="F23" s="32"/>
      <c r="G23" s="32"/>
    </row>
    <row r="24" spans="3:8" s="30" customFormat="1" ht="16.05" customHeight="1">
      <c r="C24" s="32"/>
      <c r="D24" s="32"/>
      <c r="E24" s="32"/>
      <c r="F24" s="32"/>
      <c r="G24" s="32"/>
    </row>
    <row r="25" spans="3:8" s="30" customFormat="1" ht="16.05" customHeight="1">
      <c r="C25" s="32"/>
      <c r="D25" s="32"/>
      <c r="E25" s="32"/>
      <c r="F25" s="32"/>
      <c r="G25" s="32"/>
    </row>
    <row r="26" spans="3:8" s="30" customFormat="1" ht="16.05" customHeight="1">
      <c r="C26" s="32"/>
      <c r="D26" s="32"/>
      <c r="E26" s="32"/>
      <c r="F26" s="32"/>
      <c r="G26" s="32"/>
    </row>
  </sheetData>
  <mergeCells count="1">
    <mergeCell ref="C4:G8"/>
  </mergeCells>
  <dataValidations count="1">
    <dataValidation type="date" allowBlank="1" showInputMessage="1" showErrorMessage="1" sqref="H1:H3 JD1:JD3 SZ1:SZ3 ACV1:ACV3 AMR1:AMR3 AWN1:AWN3 BGJ1:BGJ3 BQF1:BQF3 CAB1:CAB3 CJX1:CJX3 CTT1:CTT3 DDP1:DDP3 DNL1:DNL3 DXH1:DXH3 EHD1:EHD3 EQZ1:EQZ3 FAV1:FAV3 FKR1:FKR3 FUN1:FUN3 GEJ1:GEJ3 GOF1:GOF3 GYB1:GYB3 HHX1:HHX3 HRT1:HRT3 IBP1:IBP3 ILL1:ILL3 IVH1:IVH3 JFD1:JFD3 JOZ1:JOZ3 JYV1:JYV3 KIR1:KIR3 KSN1:KSN3 LCJ1:LCJ3 LMF1:LMF3 LWB1:LWB3 MFX1:MFX3 MPT1:MPT3 MZP1:MZP3 NJL1:NJL3 NTH1:NTH3 ODD1:ODD3 OMZ1:OMZ3 OWV1:OWV3 PGR1:PGR3 PQN1:PQN3 QAJ1:QAJ3 QKF1:QKF3 QUB1:QUB3 RDX1:RDX3 RNT1:RNT3 RXP1:RXP3 SHL1:SHL3 SRH1:SRH3 TBD1:TBD3 TKZ1:TKZ3 TUV1:TUV3 UER1:UER3 UON1:UON3 UYJ1:UYJ3 VIF1:VIF3 VSB1:VSB3 WBX1:WBX3 WLT1:WLT3 WVP1:WVP3 H65537:H65539 JD65537:JD65539 SZ65537:SZ65539 ACV65537:ACV65539 AMR65537:AMR65539 AWN65537:AWN65539 BGJ65537:BGJ65539 BQF65537:BQF65539 CAB65537:CAB65539 CJX65537:CJX65539 CTT65537:CTT65539 DDP65537:DDP65539 DNL65537:DNL65539 DXH65537:DXH65539 EHD65537:EHD65539 EQZ65537:EQZ65539 FAV65537:FAV65539 FKR65537:FKR65539 FUN65537:FUN65539 GEJ65537:GEJ65539 GOF65537:GOF65539 GYB65537:GYB65539 HHX65537:HHX65539 HRT65537:HRT65539 IBP65537:IBP65539 ILL65537:ILL65539 IVH65537:IVH65539 JFD65537:JFD65539 JOZ65537:JOZ65539 JYV65537:JYV65539 KIR65537:KIR65539 KSN65537:KSN65539 LCJ65537:LCJ65539 LMF65537:LMF65539 LWB65537:LWB65539 MFX65537:MFX65539 MPT65537:MPT65539 MZP65537:MZP65539 NJL65537:NJL65539 NTH65537:NTH65539 ODD65537:ODD65539 OMZ65537:OMZ65539 OWV65537:OWV65539 PGR65537:PGR65539 PQN65537:PQN65539 QAJ65537:QAJ65539 QKF65537:QKF65539 QUB65537:QUB65539 RDX65537:RDX65539 RNT65537:RNT65539 RXP65537:RXP65539 SHL65537:SHL65539 SRH65537:SRH65539 TBD65537:TBD65539 TKZ65537:TKZ65539 TUV65537:TUV65539 UER65537:UER65539 UON65537:UON65539 UYJ65537:UYJ65539 VIF65537:VIF65539 VSB65537:VSB65539 WBX65537:WBX65539 WLT65537:WLT65539 WVP65537:WVP65539 H131073:H131075 JD131073:JD131075 SZ131073:SZ131075 ACV131073:ACV131075 AMR131073:AMR131075 AWN131073:AWN131075 BGJ131073:BGJ131075 BQF131073:BQF131075 CAB131073:CAB131075 CJX131073:CJX131075 CTT131073:CTT131075 DDP131073:DDP131075 DNL131073:DNL131075 DXH131073:DXH131075 EHD131073:EHD131075 EQZ131073:EQZ131075 FAV131073:FAV131075 FKR131073:FKR131075 FUN131073:FUN131075 GEJ131073:GEJ131075 GOF131073:GOF131075 GYB131073:GYB131075 HHX131073:HHX131075 HRT131073:HRT131075 IBP131073:IBP131075 ILL131073:ILL131075 IVH131073:IVH131075 JFD131073:JFD131075 JOZ131073:JOZ131075 JYV131073:JYV131075 KIR131073:KIR131075 KSN131073:KSN131075 LCJ131073:LCJ131075 LMF131073:LMF131075 LWB131073:LWB131075 MFX131073:MFX131075 MPT131073:MPT131075 MZP131073:MZP131075 NJL131073:NJL131075 NTH131073:NTH131075 ODD131073:ODD131075 OMZ131073:OMZ131075 OWV131073:OWV131075 PGR131073:PGR131075 PQN131073:PQN131075 QAJ131073:QAJ131075 QKF131073:QKF131075 QUB131073:QUB131075 RDX131073:RDX131075 RNT131073:RNT131075 RXP131073:RXP131075 SHL131073:SHL131075 SRH131073:SRH131075 TBD131073:TBD131075 TKZ131073:TKZ131075 TUV131073:TUV131075 UER131073:UER131075 UON131073:UON131075 UYJ131073:UYJ131075 VIF131073:VIF131075 VSB131073:VSB131075 WBX131073:WBX131075 WLT131073:WLT131075 WVP131073:WVP131075 H196609:H196611 JD196609:JD196611 SZ196609:SZ196611 ACV196609:ACV196611 AMR196609:AMR196611 AWN196609:AWN196611 BGJ196609:BGJ196611 BQF196609:BQF196611 CAB196609:CAB196611 CJX196609:CJX196611 CTT196609:CTT196611 DDP196609:DDP196611 DNL196609:DNL196611 DXH196609:DXH196611 EHD196609:EHD196611 EQZ196609:EQZ196611 FAV196609:FAV196611 FKR196609:FKR196611 FUN196609:FUN196611 GEJ196609:GEJ196611 GOF196609:GOF196611 GYB196609:GYB196611 HHX196609:HHX196611 HRT196609:HRT196611 IBP196609:IBP196611 ILL196609:ILL196611 IVH196609:IVH196611 JFD196609:JFD196611 JOZ196609:JOZ196611 JYV196609:JYV196611 KIR196609:KIR196611 KSN196609:KSN196611 LCJ196609:LCJ196611 LMF196609:LMF196611 LWB196609:LWB196611 MFX196609:MFX196611 MPT196609:MPT196611 MZP196609:MZP196611 NJL196609:NJL196611 NTH196609:NTH196611 ODD196609:ODD196611 OMZ196609:OMZ196611 OWV196609:OWV196611 PGR196609:PGR196611 PQN196609:PQN196611 QAJ196609:QAJ196611 QKF196609:QKF196611 QUB196609:QUB196611 RDX196609:RDX196611 RNT196609:RNT196611 RXP196609:RXP196611 SHL196609:SHL196611 SRH196609:SRH196611 TBD196609:TBD196611 TKZ196609:TKZ196611 TUV196609:TUV196611 UER196609:UER196611 UON196609:UON196611 UYJ196609:UYJ196611 VIF196609:VIF196611 VSB196609:VSB196611 WBX196609:WBX196611 WLT196609:WLT196611 WVP196609:WVP196611 H262145:H262147 JD262145:JD262147 SZ262145:SZ262147 ACV262145:ACV262147 AMR262145:AMR262147 AWN262145:AWN262147 BGJ262145:BGJ262147 BQF262145:BQF262147 CAB262145:CAB262147 CJX262145:CJX262147 CTT262145:CTT262147 DDP262145:DDP262147 DNL262145:DNL262147 DXH262145:DXH262147 EHD262145:EHD262147 EQZ262145:EQZ262147 FAV262145:FAV262147 FKR262145:FKR262147 FUN262145:FUN262147 GEJ262145:GEJ262147 GOF262145:GOF262147 GYB262145:GYB262147 HHX262145:HHX262147 HRT262145:HRT262147 IBP262145:IBP262147 ILL262145:ILL262147 IVH262145:IVH262147 JFD262145:JFD262147 JOZ262145:JOZ262147 JYV262145:JYV262147 KIR262145:KIR262147 KSN262145:KSN262147 LCJ262145:LCJ262147 LMF262145:LMF262147 LWB262145:LWB262147 MFX262145:MFX262147 MPT262145:MPT262147 MZP262145:MZP262147 NJL262145:NJL262147 NTH262145:NTH262147 ODD262145:ODD262147 OMZ262145:OMZ262147 OWV262145:OWV262147 PGR262145:PGR262147 PQN262145:PQN262147 QAJ262145:QAJ262147 QKF262145:QKF262147 QUB262145:QUB262147 RDX262145:RDX262147 RNT262145:RNT262147 RXP262145:RXP262147 SHL262145:SHL262147 SRH262145:SRH262147 TBD262145:TBD262147 TKZ262145:TKZ262147 TUV262145:TUV262147 UER262145:UER262147 UON262145:UON262147 UYJ262145:UYJ262147 VIF262145:VIF262147 VSB262145:VSB262147 WBX262145:WBX262147 WLT262145:WLT262147 WVP262145:WVP262147 H327681:H327683 JD327681:JD327683 SZ327681:SZ327683 ACV327681:ACV327683 AMR327681:AMR327683 AWN327681:AWN327683 BGJ327681:BGJ327683 BQF327681:BQF327683 CAB327681:CAB327683 CJX327681:CJX327683 CTT327681:CTT327683 DDP327681:DDP327683 DNL327681:DNL327683 DXH327681:DXH327683 EHD327681:EHD327683 EQZ327681:EQZ327683 FAV327681:FAV327683 FKR327681:FKR327683 FUN327681:FUN327683 GEJ327681:GEJ327683 GOF327681:GOF327683 GYB327681:GYB327683 HHX327681:HHX327683 HRT327681:HRT327683 IBP327681:IBP327683 ILL327681:ILL327683 IVH327681:IVH327683 JFD327681:JFD327683 JOZ327681:JOZ327683 JYV327681:JYV327683 KIR327681:KIR327683 KSN327681:KSN327683 LCJ327681:LCJ327683 LMF327681:LMF327683 LWB327681:LWB327683 MFX327681:MFX327683 MPT327681:MPT327683 MZP327681:MZP327683 NJL327681:NJL327683 NTH327681:NTH327683 ODD327681:ODD327683 OMZ327681:OMZ327683 OWV327681:OWV327683 PGR327681:PGR327683 PQN327681:PQN327683 QAJ327681:QAJ327683 QKF327681:QKF327683 QUB327681:QUB327683 RDX327681:RDX327683 RNT327681:RNT327683 RXP327681:RXP327683 SHL327681:SHL327683 SRH327681:SRH327683 TBD327681:TBD327683 TKZ327681:TKZ327683 TUV327681:TUV327683 UER327681:UER327683 UON327681:UON327683 UYJ327681:UYJ327683 VIF327681:VIF327683 VSB327681:VSB327683 WBX327681:WBX327683 WLT327681:WLT327683 WVP327681:WVP327683 H393217:H393219 JD393217:JD393219 SZ393217:SZ393219 ACV393217:ACV393219 AMR393217:AMR393219 AWN393217:AWN393219 BGJ393217:BGJ393219 BQF393217:BQF393219 CAB393217:CAB393219 CJX393217:CJX393219 CTT393217:CTT393219 DDP393217:DDP393219 DNL393217:DNL393219 DXH393217:DXH393219 EHD393217:EHD393219 EQZ393217:EQZ393219 FAV393217:FAV393219 FKR393217:FKR393219 FUN393217:FUN393219 GEJ393217:GEJ393219 GOF393217:GOF393219 GYB393217:GYB393219 HHX393217:HHX393219 HRT393217:HRT393219 IBP393217:IBP393219 ILL393217:ILL393219 IVH393217:IVH393219 JFD393217:JFD393219 JOZ393217:JOZ393219 JYV393217:JYV393219 KIR393217:KIR393219 KSN393217:KSN393219 LCJ393217:LCJ393219 LMF393217:LMF393219 LWB393217:LWB393219 MFX393217:MFX393219 MPT393217:MPT393219 MZP393217:MZP393219 NJL393217:NJL393219 NTH393217:NTH393219 ODD393217:ODD393219 OMZ393217:OMZ393219 OWV393217:OWV393219 PGR393217:PGR393219 PQN393217:PQN393219 QAJ393217:QAJ393219 QKF393217:QKF393219 QUB393217:QUB393219 RDX393217:RDX393219 RNT393217:RNT393219 RXP393217:RXP393219 SHL393217:SHL393219 SRH393217:SRH393219 TBD393217:TBD393219 TKZ393217:TKZ393219 TUV393217:TUV393219 UER393217:UER393219 UON393217:UON393219 UYJ393217:UYJ393219 VIF393217:VIF393219 VSB393217:VSB393219 WBX393217:WBX393219 WLT393217:WLT393219 WVP393217:WVP393219 H458753:H458755 JD458753:JD458755 SZ458753:SZ458755 ACV458753:ACV458755 AMR458753:AMR458755 AWN458753:AWN458755 BGJ458753:BGJ458755 BQF458753:BQF458755 CAB458753:CAB458755 CJX458753:CJX458755 CTT458753:CTT458755 DDP458753:DDP458755 DNL458753:DNL458755 DXH458753:DXH458755 EHD458753:EHD458755 EQZ458753:EQZ458755 FAV458753:FAV458755 FKR458753:FKR458755 FUN458753:FUN458755 GEJ458753:GEJ458755 GOF458753:GOF458755 GYB458753:GYB458755 HHX458753:HHX458755 HRT458753:HRT458755 IBP458753:IBP458755 ILL458753:ILL458755 IVH458753:IVH458755 JFD458753:JFD458755 JOZ458753:JOZ458755 JYV458753:JYV458755 KIR458753:KIR458755 KSN458753:KSN458755 LCJ458753:LCJ458755 LMF458753:LMF458755 LWB458753:LWB458755 MFX458753:MFX458755 MPT458753:MPT458755 MZP458753:MZP458755 NJL458753:NJL458755 NTH458753:NTH458755 ODD458753:ODD458755 OMZ458753:OMZ458755 OWV458753:OWV458755 PGR458753:PGR458755 PQN458753:PQN458755 QAJ458753:QAJ458755 QKF458753:QKF458755 QUB458753:QUB458755 RDX458753:RDX458755 RNT458753:RNT458755 RXP458753:RXP458755 SHL458753:SHL458755 SRH458753:SRH458755 TBD458753:TBD458755 TKZ458753:TKZ458755 TUV458753:TUV458755 UER458753:UER458755 UON458753:UON458755 UYJ458753:UYJ458755 VIF458753:VIF458755 VSB458753:VSB458755 WBX458753:WBX458755 WLT458753:WLT458755 WVP458753:WVP458755 H524289:H524291 JD524289:JD524291 SZ524289:SZ524291 ACV524289:ACV524291 AMR524289:AMR524291 AWN524289:AWN524291 BGJ524289:BGJ524291 BQF524289:BQF524291 CAB524289:CAB524291 CJX524289:CJX524291 CTT524289:CTT524291 DDP524289:DDP524291 DNL524289:DNL524291 DXH524289:DXH524291 EHD524289:EHD524291 EQZ524289:EQZ524291 FAV524289:FAV524291 FKR524289:FKR524291 FUN524289:FUN524291 GEJ524289:GEJ524291 GOF524289:GOF524291 GYB524289:GYB524291 HHX524289:HHX524291 HRT524289:HRT524291 IBP524289:IBP524291 ILL524289:ILL524291 IVH524289:IVH524291 JFD524289:JFD524291 JOZ524289:JOZ524291 JYV524289:JYV524291 KIR524289:KIR524291 KSN524289:KSN524291 LCJ524289:LCJ524291 LMF524289:LMF524291 LWB524289:LWB524291 MFX524289:MFX524291 MPT524289:MPT524291 MZP524289:MZP524291 NJL524289:NJL524291 NTH524289:NTH524291 ODD524289:ODD524291 OMZ524289:OMZ524291 OWV524289:OWV524291 PGR524289:PGR524291 PQN524289:PQN524291 QAJ524289:QAJ524291 QKF524289:QKF524291 QUB524289:QUB524291 RDX524289:RDX524291 RNT524289:RNT524291 RXP524289:RXP524291 SHL524289:SHL524291 SRH524289:SRH524291 TBD524289:TBD524291 TKZ524289:TKZ524291 TUV524289:TUV524291 UER524289:UER524291 UON524289:UON524291 UYJ524289:UYJ524291 VIF524289:VIF524291 VSB524289:VSB524291 WBX524289:WBX524291 WLT524289:WLT524291 WVP524289:WVP524291 H589825:H589827 JD589825:JD589827 SZ589825:SZ589827 ACV589825:ACV589827 AMR589825:AMR589827 AWN589825:AWN589827 BGJ589825:BGJ589827 BQF589825:BQF589827 CAB589825:CAB589827 CJX589825:CJX589827 CTT589825:CTT589827 DDP589825:DDP589827 DNL589825:DNL589827 DXH589825:DXH589827 EHD589825:EHD589827 EQZ589825:EQZ589827 FAV589825:FAV589827 FKR589825:FKR589827 FUN589825:FUN589827 GEJ589825:GEJ589827 GOF589825:GOF589827 GYB589825:GYB589827 HHX589825:HHX589827 HRT589825:HRT589827 IBP589825:IBP589827 ILL589825:ILL589827 IVH589825:IVH589827 JFD589825:JFD589827 JOZ589825:JOZ589827 JYV589825:JYV589827 KIR589825:KIR589827 KSN589825:KSN589827 LCJ589825:LCJ589827 LMF589825:LMF589827 LWB589825:LWB589827 MFX589825:MFX589827 MPT589825:MPT589827 MZP589825:MZP589827 NJL589825:NJL589827 NTH589825:NTH589827 ODD589825:ODD589827 OMZ589825:OMZ589827 OWV589825:OWV589827 PGR589825:PGR589827 PQN589825:PQN589827 QAJ589825:QAJ589827 QKF589825:QKF589827 QUB589825:QUB589827 RDX589825:RDX589827 RNT589825:RNT589827 RXP589825:RXP589827 SHL589825:SHL589827 SRH589825:SRH589827 TBD589825:TBD589827 TKZ589825:TKZ589827 TUV589825:TUV589827 UER589825:UER589827 UON589825:UON589827 UYJ589825:UYJ589827 VIF589825:VIF589827 VSB589825:VSB589827 WBX589825:WBX589827 WLT589825:WLT589827 WVP589825:WVP589827 H655361:H655363 JD655361:JD655363 SZ655361:SZ655363 ACV655361:ACV655363 AMR655361:AMR655363 AWN655361:AWN655363 BGJ655361:BGJ655363 BQF655361:BQF655363 CAB655361:CAB655363 CJX655361:CJX655363 CTT655361:CTT655363 DDP655361:DDP655363 DNL655361:DNL655363 DXH655361:DXH655363 EHD655361:EHD655363 EQZ655361:EQZ655363 FAV655361:FAV655363 FKR655361:FKR655363 FUN655361:FUN655363 GEJ655361:GEJ655363 GOF655361:GOF655363 GYB655361:GYB655363 HHX655361:HHX655363 HRT655361:HRT655363 IBP655361:IBP655363 ILL655361:ILL655363 IVH655361:IVH655363 JFD655361:JFD655363 JOZ655361:JOZ655363 JYV655361:JYV655363 KIR655361:KIR655363 KSN655361:KSN655363 LCJ655361:LCJ655363 LMF655361:LMF655363 LWB655361:LWB655363 MFX655361:MFX655363 MPT655361:MPT655363 MZP655361:MZP655363 NJL655361:NJL655363 NTH655361:NTH655363 ODD655361:ODD655363 OMZ655361:OMZ655363 OWV655361:OWV655363 PGR655361:PGR655363 PQN655361:PQN655363 QAJ655361:QAJ655363 QKF655361:QKF655363 QUB655361:QUB655363 RDX655361:RDX655363 RNT655361:RNT655363 RXP655361:RXP655363 SHL655361:SHL655363 SRH655361:SRH655363 TBD655361:TBD655363 TKZ655361:TKZ655363 TUV655361:TUV655363 UER655361:UER655363 UON655361:UON655363 UYJ655361:UYJ655363 VIF655361:VIF655363 VSB655361:VSB655363 WBX655361:WBX655363 WLT655361:WLT655363 WVP655361:WVP655363 H720897:H720899 JD720897:JD720899 SZ720897:SZ720899 ACV720897:ACV720899 AMR720897:AMR720899 AWN720897:AWN720899 BGJ720897:BGJ720899 BQF720897:BQF720899 CAB720897:CAB720899 CJX720897:CJX720899 CTT720897:CTT720899 DDP720897:DDP720899 DNL720897:DNL720899 DXH720897:DXH720899 EHD720897:EHD720899 EQZ720897:EQZ720899 FAV720897:FAV720899 FKR720897:FKR720899 FUN720897:FUN720899 GEJ720897:GEJ720899 GOF720897:GOF720899 GYB720897:GYB720899 HHX720897:HHX720899 HRT720897:HRT720899 IBP720897:IBP720899 ILL720897:ILL720899 IVH720897:IVH720899 JFD720897:JFD720899 JOZ720897:JOZ720899 JYV720897:JYV720899 KIR720897:KIR720899 KSN720897:KSN720899 LCJ720897:LCJ720899 LMF720897:LMF720899 LWB720897:LWB720899 MFX720897:MFX720899 MPT720897:MPT720899 MZP720897:MZP720899 NJL720897:NJL720899 NTH720897:NTH720899 ODD720897:ODD720899 OMZ720897:OMZ720899 OWV720897:OWV720899 PGR720897:PGR720899 PQN720897:PQN720899 QAJ720897:QAJ720899 QKF720897:QKF720899 QUB720897:QUB720899 RDX720897:RDX720899 RNT720897:RNT720899 RXP720897:RXP720899 SHL720897:SHL720899 SRH720897:SRH720899 TBD720897:TBD720899 TKZ720897:TKZ720899 TUV720897:TUV720899 UER720897:UER720899 UON720897:UON720899 UYJ720897:UYJ720899 VIF720897:VIF720899 VSB720897:VSB720899 WBX720897:WBX720899 WLT720897:WLT720899 WVP720897:WVP720899 H786433:H786435 JD786433:JD786435 SZ786433:SZ786435 ACV786433:ACV786435 AMR786433:AMR786435 AWN786433:AWN786435 BGJ786433:BGJ786435 BQF786433:BQF786435 CAB786433:CAB786435 CJX786433:CJX786435 CTT786433:CTT786435 DDP786433:DDP786435 DNL786433:DNL786435 DXH786433:DXH786435 EHD786433:EHD786435 EQZ786433:EQZ786435 FAV786433:FAV786435 FKR786433:FKR786435 FUN786433:FUN786435 GEJ786433:GEJ786435 GOF786433:GOF786435 GYB786433:GYB786435 HHX786433:HHX786435 HRT786433:HRT786435 IBP786433:IBP786435 ILL786433:ILL786435 IVH786433:IVH786435 JFD786433:JFD786435 JOZ786433:JOZ786435 JYV786433:JYV786435 KIR786433:KIR786435 KSN786433:KSN786435 LCJ786433:LCJ786435 LMF786433:LMF786435 LWB786433:LWB786435 MFX786433:MFX786435 MPT786433:MPT786435 MZP786433:MZP786435 NJL786433:NJL786435 NTH786433:NTH786435 ODD786433:ODD786435 OMZ786433:OMZ786435 OWV786433:OWV786435 PGR786433:PGR786435 PQN786433:PQN786435 QAJ786433:QAJ786435 QKF786433:QKF786435 QUB786433:QUB786435 RDX786433:RDX786435 RNT786433:RNT786435 RXP786433:RXP786435 SHL786433:SHL786435 SRH786433:SRH786435 TBD786433:TBD786435 TKZ786433:TKZ786435 TUV786433:TUV786435 UER786433:UER786435 UON786433:UON786435 UYJ786433:UYJ786435 VIF786433:VIF786435 VSB786433:VSB786435 WBX786433:WBX786435 WLT786433:WLT786435 WVP786433:WVP786435 H851969:H851971 JD851969:JD851971 SZ851969:SZ851971 ACV851969:ACV851971 AMR851969:AMR851971 AWN851969:AWN851971 BGJ851969:BGJ851971 BQF851969:BQF851971 CAB851969:CAB851971 CJX851969:CJX851971 CTT851969:CTT851971 DDP851969:DDP851971 DNL851969:DNL851971 DXH851969:DXH851971 EHD851969:EHD851971 EQZ851969:EQZ851971 FAV851969:FAV851971 FKR851969:FKR851971 FUN851969:FUN851971 GEJ851969:GEJ851971 GOF851969:GOF851971 GYB851969:GYB851971 HHX851969:HHX851971 HRT851969:HRT851971 IBP851969:IBP851971 ILL851969:ILL851971 IVH851969:IVH851971 JFD851969:JFD851971 JOZ851969:JOZ851971 JYV851969:JYV851971 KIR851969:KIR851971 KSN851969:KSN851971 LCJ851969:LCJ851971 LMF851969:LMF851971 LWB851969:LWB851971 MFX851969:MFX851971 MPT851969:MPT851971 MZP851969:MZP851971 NJL851969:NJL851971 NTH851969:NTH851971 ODD851969:ODD851971 OMZ851969:OMZ851971 OWV851969:OWV851971 PGR851969:PGR851971 PQN851969:PQN851971 QAJ851969:QAJ851971 QKF851969:QKF851971 QUB851969:QUB851971 RDX851969:RDX851971 RNT851969:RNT851971 RXP851969:RXP851971 SHL851969:SHL851971 SRH851969:SRH851971 TBD851969:TBD851971 TKZ851969:TKZ851971 TUV851969:TUV851971 UER851969:UER851971 UON851969:UON851971 UYJ851969:UYJ851971 VIF851969:VIF851971 VSB851969:VSB851971 WBX851969:WBX851971 WLT851969:WLT851971 WVP851969:WVP851971 H917505:H917507 JD917505:JD917507 SZ917505:SZ917507 ACV917505:ACV917507 AMR917505:AMR917507 AWN917505:AWN917507 BGJ917505:BGJ917507 BQF917505:BQF917507 CAB917505:CAB917507 CJX917505:CJX917507 CTT917505:CTT917507 DDP917505:DDP917507 DNL917505:DNL917507 DXH917505:DXH917507 EHD917505:EHD917507 EQZ917505:EQZ917507 FAV917505:FAV917507 FKR917505:FKR917507 FUN917505:FUN917507 GEJ917505:GEJ917507 GOF917505:GOF917507 GYB917505:GYB917507 HHX917505:HHX917507 HRT917505:HRT917507 IBP917505:IBP917507 ILL917505:ILL917507 IVH917505:IVH917507 JFD917505:JFD917507 JOZ917505:JOZ917507 JYV917505:JYV917507 KIR917505:KIR917507 KSN917505:KSN917507 LCJ917505:LCJ917507 LMF917505:LMF917507 LWB917505:LWB917507 MFX917505:MFX917507 MPT917505:MPT917507 MZP917505:MZP917507 NJL917505:NJL917507 NTH917505:NTH917507 ODD917505:ODD917507 OMZ917505:OMZ917507 OWV917505:OWV917507 PGR917505:PGR917507 PQN917505:PQN917507 QAJ917505:QAJ917507 QKF917505:QKF917507 QUB917505:QUB917507 RDX917505:RDX917507 RNT917505:RNT917507 RXP917505:RXP917507 SHL917505:SHL917507 SRH917505:SRH917507 TBD917505:TBD917507 TKZ917505:TKZ917507 TUV917505:TUV917507 UER917505:UER917507 UON917505:UON917507 UYJ917505:UYJ917507 VIF917505:VIF917507 VSB917505:VSB917507 WBX917505:WBX917507 WLT917505:WLT917507 WVP917505:WVP917507 H983041:H983043 JD983041:JD983043 SZ983041:SZ983043 ACV983041:ACV983043 AMR983041:AMR983043 AWN983041:AWN983043 BGJ983041:BGJ983043 BQF983041:BQF983043 CAB983041:CAB983043 CJX983041:CJX983043 CTT983041:CTT983043 DDP983041:DDP983043 DNL983041:DNL983043 DXH983041:DXH983043 EHD983041:EHD983043 EQZ983041:EQZ983043 FAV983041:FAV983043 FKR983041:FKR983043 FUN983041:FUN983043 GEJ983041:GEJ983043 GOF983041:GOF983043 GYB983041:GYB983043 HHX983041:HHX983043 HRT983041:HRT983043 IBP983041:IBP983043 ILL983041:ILL983043 IVH983041:IVH983043 JFD983041:JFD983043 JOZ983041:JOZ983043 JYV983041:JYV983043 KIR983041:KIR983043 KSN983041:KSN983043 LCJ983041:LCJ983043 LMF983041:LMF983043 LWB983041:LWB983043 MFX983041:MFX983043 MPT983041:MPT983043 MZP983041:MZP983043 NJL983041:NJL983043 NTH983041:NTH983043 ODD983041:ODD983043 OMZ983041:OMZ983043 OWV983041:OWV983043 PGR983041:PGR983043 PQN983041:PQN983043 QAJ983041:QAJ983043 QKF983041:QKF983043 QUB983041:QUB983043 RDX983041:RDX983043 RNT983041:RNT983043 RXP983041:RXP983043 SHL983041:SHL983043 SRH983041:SRH983043 TBD983041:TBD983043 TKZ983041:TKZ983043 TUV983041:TUV983043 UER983041:UER983043 UON983041:UON983043 UYJ983041:UYJ983043 VIF983041:VIF983043 VSB983041:VSB983043 WBX983041:WBX983043 WLT983041:WLT983043 WVP983041:WVP983043 H17 JD17 SZ17 ACV17 AMR17 AWN17 BGJ17 BQF17 CAB17 CJX17 CTT17 DDP17 DNL17 DXH17 EHD17 EQZ17 FAV17 FKR17 FUN17 GEJ17 GOF17 GYB17 HHX17 HRT17 IBP17 ILL17 IVH17 JFD17 JOZ17 JYV17 KIR17 KSN17 LCJ17 LMF17 LWB17 MFX17 MPT17 MZP17 NJL17 NTH17 ODD17 OMZ17 OWV17 PGR17 PQN17 QAJ17 QKF17 QUB17 RDX17 RNT17 RXP17 SHL17 SRH17 TBD17 TKZ17 TUV17 UER17 UON17 UYJ17 VIF17 VSB17 WBX17 WLT17 WVP17 H65553 JD65553 SZ65553 ACV65553 AMR65553 AWN65553 BGJ65553 BQF65553 CAB65553 CJX65553 CTT65553 DDP65553 DNL65553 DXH65553 EHD65553 EQZ65553 FAV65553 FKR65553 FUN65553 GEJ65553 GOF65553 GYB65553 HHX65553 HRT65553 IBP65553 ILL65553 IVH65553 JFD65553 JOZ65553 JYV65553 KIR65553 KSN65553 LCJ65553 LMF65553 LWB65553 MFX65553 MPT65553 MZP65553 NJL65553 NTH65553 ODD65553 OMZ65553 OWV65553 PGR65553 PQN65553 QAJ65553 QKF65553 QUB65553 RDX65553 RNT65553 RXP65553 SHL65553 SRH65553 TBD65553 TKZ65553 TUV65553 UER65553 UON65553 UYJ65553 VIF65553 VSB65553 WBX65553 WLT65553 WVP65553 H131089 JD131089 SZ131089 ACV131089 AMR131089 AWN131089 BGJ131089 BQF131089 CAB131089 CJX131089 CTT131089 DDP131089 DNL131089 DXH131089 EHD131089 EQZ131089 FAV131089 FKR131089 FUN131089 GEJ131089 GOF131089 GYB131089 HHX131089 HRT131089 IBP131089 ILL131089 IVH131089 JFD131089 JOZ131089 JYV131089 KIR131089 KSN131089 LCJ131089 LMF131089 LWB131089 MFX131089 MPT131089 MZP131089 NJL131089 NTH131089 ODD131089 OMZ131089 OWV131089 PGR131089 PQN131089 QAJ131089 QKF131089 QUB131089 RDX131089 RNT131089 RXP131089 SHL131089 SRH131089 TBD131089 TKZ131089 TUV131089 UER131089 UON131089 UYJ131089 VIF131089 VSB131089 WBX131089 WLT131089 WVP131089 H196625 JD196625 SZ196625 ACV196625 AMR196625 AWN196625 BGJ196625 BQF196625 CAB196625 CJX196625 CTT196625 DDP196625 DNL196625 DXH196625 EHD196625 EQZ196625 FAV196625 FKR196625 FUN196625 GEJ196625 GOF196625 GYB196625 HHX196625 HRT196625 IBP196625 ILL196625 IVH196625 JFD196625 JOZ196625 JYV196625 KIR196625 KSN196625 LCJ196625 LMF196625 LWB196625 MFX196625 MPT196625 MZP196625 NJL196625 NTH196625 ODD196625 OMZ196625 OWV196625 PGR196625 PQN196625 QAJ196625 QKF196625 QUB196625 RDX196625 RNT196625 RXP196625 SHL196625 SRH196625 TBD196625 TKZ196625 TUV196625 UER196625 UON196625 UYJ196625 VIF196625 VSB196625 WBX196625 WLT196625 WVP196625 H262161 JD262161 SZ262161 ACV262161 AMR262161 AWN262161 BGJ262161 BQF262161 CAB262161 CJX262161 CTT262161 DDP262161 DNL262161 DXH262161 EHD262161 EQZ262161 FAV262161 FKR262161 FUN262161 GEJ262161 GOF262161 GYB262161 HHX262161 HRT262161 IBP262161 ILL262161 IVH262161 JFD262161 JOZ262161 JYV262161 KIR262161 KSN262161 LCJ262161 LMF262161 LWB262161 MFX262161 MPT262161 MZP262161 NJL262161 NTH262161 ODD262161 OMZ262161 OWV262161 PGR262161 PQN262161 QAJ262161 QKF262161 QUB262161 RDX262161 RNT262161 RXP262161 SHL262161 SRH262161 TBD262161 TKZ262161 TUV262161 UER262161 UON262161 UYJ262161 VIF262161 VSB262161 WBX262161 WLT262161 WVP262161 H327697 JD327697 SZ327697 ACV327697 AMR327697 AWN327697 BGJ327697 BQF327697 CAB327697 CJX327697 CTT327697 DDP327697 DNL327697 DXH327697 EHD327697 EQZ327697 FAV327697 FKR327697 FUN327697 GEJ327697 GOF327697 GYB327697 HHX327697 HRT327697 IBP327697 ILL327697 IVH327697 JFD327697 JOZ327697 JYV327697 KIR327697 KSN327697 LCJ327697 LMF327697 LWB327697 MFX327697 MPT327697 MZP327697 NJL327697 NTH327697 ODD327697 OMZ327697 OWV327697 PGR327697 PQN327697 QAJ327697 QKF327697 QUB327697 RDX327697 RNT327697 RXP327697 SHL327697 SRH327697 TBD327697 TKZ327697 TUV327697 UER327697 UON327697 UYJ327697 VIF327697 VSB327697 WBX327697 WLT327697 WVP327697 H393233 JD393233 SZ393233 ACV393233 AMR393233 AWN393233 BGJ393233 BQF393233 CAB393233 CJX393233 CTT393233 DDP393233 DNL393233 DXH393233 EHD393233 EQZ393233 FAV393233 FKR393233 FUN393233 GEJ393233 GOF393233 GYB393233 HHX393233 HRT393233 IBP393233 ILL393233 IVH393233 JFD393233 JOZ393233 JYV393233 KIR393233 KSN393233 LCJ393233 LMF393233 LWB393233 MFX393233 MPT393233 MZP393233 NJL393233 NTH393233 ODD393233 OMZ393233 OWV393233 PGR393233 PQN393233 QAJ393233 QKF393233 QUB393233 RDX393233 RNT393233 RXP393233 SHL393233 SRH393233 TBD393233 TKZ393233 TUV393233 UER393233 UON393233 UYJ393233 VIF393233 VSB393233 WBX393233 WLT393233 WVP393233 H458769 JD458769 SZ458769 ACV458769 AMR458769 AWN458769 BGJ458769 BQF458769 CAB458769 CJX458769 CTT458769 DDP458769 DNL458769 DXH458769 EHD458769 EQZ458769 FAV458769 FKR458769 FUN458769 GEJ458769 GOF458769 GYB458769 HHX458769 HRT458769 IBP458769 ILL458769 IVH458769 JFD458769 JOZ458769 JYV458769 KIR458769 KSN458769 LCJ458769 LMF458769 LWB458769 MFX458769 MPT458769 MZP458769 NJL458769 NTH458769 ODD458769 OMZ458769 OWV458769 PGR458769 PQN458769 QAJ458769 QKF458769 QUB458769 RDX458769 RNT458769 RXP458769 SHL458769 SRH458769 TBD458769 TKZ458769 TUV458769 UER458769 UON458769 UYJ458769 VIF458769 VSB458769 WBX458769 WLT458769 WVP458769 H524305 JD524305 SZ524305 ACV524305 AMR524305 AWN524305 BGJ524305 BQF524305 CAB524305 CJX524305 CTT524305 DDP524305 DNL524305 DXH524305 EHD524305 EQZ524305 FAV524305 FKR524305 FUN524305 GEJ524305 GOF524305 GYB524305 HHX524305 HRT524305 IBP524305 ILL524305 IVH524305 JFD524305 JOZ524305 JYV524305 KIR524305 KSN524305 LCJ524305 LMF524305 LWB524305 MFX524305 MPT524305 MZP524305 NJL524305 NTH524305 ODD524305 OMZ524305 OWV524305 PGR524305 PQN524305 QAJ524305 QKF524305 QUB524305 RDX524305 RNT524305 RXP524305 SHL524305 SRH524305 TBD524305 TKZ524305 TUV524305 UER524305 UON524305 UYJ524305 VIF524305 VSB524305 WBX524305 WLT524305 WVP524305 H589841 JD589841 SZ589841 ACV589841 AMR589841 AWN589841 BGJ589841 BQF589841 CAB589841 CJX589841 CTT589841 DDP589841 DNL589841 DXH589841 EHD589841 EQZ589841 FAV589841 FKR589841 FUN589841 GEJ589841 GOF589841 GYB589841 HHX589841 HRT589841 IBP589841 ILL589841 IVH589841 JFD589841 JOZ589841 JYV589841 KIR589841 KSN589841 LCJ589841 LMF589841 LWB589841 MFX589841 MPT589841 MZP589841 NJL589841 NTH589841 ODD589841 OMZ589841 OWV589841 PGR589841 PQN589841 QAJ589841 QKF589841 QUB589841 RDX589841 RNT589841 RXP589841 SHL589841 SRH589841 TBD589841 TKZ589841 TUV589841 UER589841 UON589841 UYJ589841 VIF589841 VSB589841 WBX589841 WLT589841 WVP589841 H655377 JD655377 SZ655377 ACV655377 AMR655377 AWN655377 BGJ655377 BQF655377 CAB655377 CJX655377 CTT655377 DDP655377 DNL655377 DXH655377 EHD655377 EQZ655377 FAV655377 FKR655377 FUN655377 GEJ655377 GOF655377 GYB655377 HHX655377 HRT655377 IBP655377 ILL655377 IVH655377 JFD655377 JOZ655377 JYV655377 KIR655377 KSN655377 LCJ655377 LMF655377 LWB655377 MFX655377 MPT655377 MZP655377 NJL655377 NTH655377 ODD655377 OMZ655377 OWV655377 PGR655377 PQN655377 QAJ655377 QKF655377 QUB655377 RDX655377 RNT655377 RXP655377 SHL655377 SRH655377 TBD655377 TKZ655377 TUV655377 UER655377 UON655377 UYJ655377 VIF655377 VSB655377 WBX655377 WLT655377 WVP655377 H720913 JD720913 SZ720913 ACV720913 AMR720913 AWN720913 BGJ720913 BQF720913 CAB720913 CJX720913 CTT720913 DDP720913 DNL720913 DXH720913 EHD720913 EQZ720913 FAV720913 FKR720913 FUN720913 GEJ720913 GOF720913 GYB720913 HHX720913 HRT720913 IBP720913 ILL720913 IVH720913 JFD720913 JOZ720913 JYV720913 KIR720913 KSN720913 LCJ720913 LMF720913 LWB720913 MFX720913 MPT720913 MZP720913 NJL720913 NTH720913 ODD720913 OMZ720913 OWV720913 PGR720913 PQN720913 QAJ720913 QKF720913 QUB720913 RDX720913 RNT720913 RXP720913 SHL720913 SRH720913 TBD720913 TKZ720913 TUV720913 UER720913 UON720913 UYJ720913 VIF720913 VSB720913 WBX720913 WLT720913 WVP720913 H786449 JD786449 SZ786449 ACV786449 AMR786449 AWN786449 BGJ786449 BQF786449 CAB786449 CJX786449 CTT786449 DDP786449 DNL786449 DXH786449 EHD786449 EQZ786449 FAV786449 FKR786449 FUN786449 GEJ786449 GOF786449 GYB786449 HHX786449 HRT786449 IBP786449 ILL786449 IVH786449 JFD786449 JOZ786449 JYV786449 KIR786449 KSN786449 LCJ786449 LMF786449 LWB786449 MFX786449 MPT786449 MZP786449 NJL786449 NTH786449 ODD786449 OMZ786449 OWV786449 PGR786449 PQN786449 QAJ786449 QKF786449 QUB786449 RDX786449 RNT786449 RXP786449 SHL786449 SRH786449 TBD786449 TKZ786449 TUV786449 UER786449 UON786449 UYJ786449 VIF786449 VSB786449 WBX786449 WLT786449 WVP786449 H851985 JD851985 SZ851985 ACV851985 AMR851985 AWN851985 BGJ851985 BQF851985 CAB851985 CJX851985 CTT851985 DDP851985 DNL851985 DXH851985 EHD851985 EQZ851985 FAV851985 FKR851985 FUN851985 GEJ851985 GOF851985 GYB851985 HHX851985 HRT851985 IBP851985 ILL851985 IVH851985 JFD851985 JOZ851985 JYV851985 KIR851985 KSN851985 LCJ851985 LMF851985 LWB851985 MFX851985 MPT851985 MZP851985 NJL851985 NTH851985 ODD851985 OMZ851985 OWV851985 PGR851985 PQN851985 QAJ851985 QKF851985 QUB851985 RDX851985 RNT851985 RXP851985 SHL851985 SRH851985 TBD851985 TKZ851985 TUV851985 UER851985 UON851985 UYJ851985 VIF851985 VSB851985 WBX851985 WLT851985 WVP851985 H917521 JD917521 SZ917521 ACV917521 AMR917521 AWN917521 BGJ917521 BQF917521 CAB917521 CJX917521 CTT917521 DDP917521 DNL917521 DXH917521 EHD917521 EQZ917521 FAV917521 FKR917521 FUN917521 GEJ917521 GOF917521 GYB917521 HHX917521 HRT917521 IBP917521 ILL917521 IVH917521 JFD917521 JOZ917521 JYV917521 KIR917521 KSN917521 LCJ917521 LMF917521 LWB917521 MFX917521 MPT917521 MZP917521 NJL917521 NTH917521 ODD917521 OMZ917521 OWV917521 PGR917521 PQN917521 QAJ917521 QKF917521 QUB917521 RDX917521 RNT917521 RXP917521 SHL917521 SRH917521 TBD917521 TKZ917521 TUV917521 UER917521 UON917521 UYJ917521 VIF917521 VSB917521 WBX917521 WLT917521 WVP917521 H983057 JD983057 SZ983057 ACV983057 AMR983057 AWN983057 BGJ983057 BQF983057 CAB983057 CJX983057 CTT983057 DDP983057 DNL983057 DXH983057 EHD983057 EQZ983057 FAV983057 FKR983057 FUN983057 GEJ983057 GOF983057 GYB983057 HHX983057 HRT983057 IBP983057 ILL983057 IVH983057 JFD983057 JOZ983057 JYV983057 KIR983057 KSN983057 LCJ983057 LMF983057 LWB983057 MFX983057 MPT983057 MZP983057 NJL983057 NTH983057 ODD983057 OMZ983057 OWV983057 PGR983057 PQN983057 QAJ983057 QKF983057 QUB983057 RDX983057 RNT983057 RXP983057 SHL983057 SRH983057 TBD983057 TKZ983057 TUV983057 UER983057 UON983057 UYJ983057 VIF983057 VSB983057 WBX983057 WLT983057 WVP983057" xr:uid="{48ECD4A9-4AFD-4B6A-B952-C7F2C2871963}">
      <formula1>10105</formula1>
      <formula2>10105</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D7B0-4623-4C1C-AEE7-E41015C96983}">
  <dimension ref="A1"/>
  <sheetViews>
    <sheetView workbookViewId="0">
      <selection activeCell="F12" sqref="F12"/>
    </sheetView>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8E7256-85F9-4036-BE7C-89D2D57377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CoverPage</vt:lpstr>
      <vt:lpstr>Assumption</vt:lpstr>
      <vt:lpstr>Operating Model - IS, BS, CF</vt:lpstr>
      <vt:lpstr>DCF</vt:lpstr>
      <vt:lpstr>Revenue</vt:lpstr>
      <vt:lpstr>D&amp;A</vt:lpstr>
      <vt:lpstr>WC</vt:lpstr>
      <vt:lpstr>Equity</vt:lpstr>
      <vt:lpstr>Debt</vt:lpstr>
      <vt:lpstr>Disclaimer</vt:lpstr>
      <vt:lpstr>&gt;&gt;&gt;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CFI</dc:creator>
  <cp:keywords/>
  <dc:description/>
  <cp:lastModifiedBy>Yuvraj Yuvraj</cp:lastModifiedBy>
  <cp:revision/>
  <dcterms:created xsi:type="dcterms:W3CDTF">2020-09-08T15:19:35Z</dcterms:created>
  <dcterms:modified xsi:type="dcterms:W3CDTF">2026-07-14T15:46:10Z</dcterms:modified>
  <cp:category/>
  <cp:contentStatus/>
</cp:coreProperties>
</file>